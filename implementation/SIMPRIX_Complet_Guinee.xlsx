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khan\"/>
    </mc:Choice>
  </mc:AlternateContent>
  <xr:revisionPtr revIDLastSave="0" documentId="8_{3373E610-369C-47AB-9AAE-7051F24AA6AB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Prix par Préfecture" sheetId="1" r:id="rId1"/>
    <sheet name="Images Produits" sheetId="2" r:id="rId2"/>
    <sheet name="URLs Pages" sheetId="3" r:id="rId3"/>
    <sheet name="Prix Moyen par Rég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2" i="4" l="1"/>
  <c r="K12" i="4"/>
  <c r="J12" i="4"/>
  <c r="I12" i="4"/>
  <c r="H12" i="4"/>
  <c r="G12" i="4"/>
  <c r="F12" i="4"/>
  <c r="E12" i="4"/>
  <c r="D12" i="4"/>
  <c r="C12" i="4"/>
  <c r="L11" i="4"/>
  <c r="K11" i="4"/>
  <c r="J11" i="4"/>
  <c r="I11" i="4"/>
  <c r="H11" i="4"/>
  <c r="G11" i="4"/>
  <c r="F11" i="4"/>
  <c r="E11" i="4"/>
  <c r="D11" i="4"/>
  <c r="C11" i="4"/>
  <c r="L10" i="4"/>
  <c r="K10" i="4"/>
  <c r="J10" i="4"/>
  <c r="I10" i="4"/>
  <c r="H10" i="4"/>
  <c r="G10" i="4"/>
  <c r="F10" i="4"/>
  <c r="E10" i="4"/>
  <c r="D10" i="4"/>
  <c r="C10" i="4"/>
  <c r="L9" i="4"/>
  <c r="K9" i="4"/>
  <c r="J9" i="4"/>
  <c r="I9" i="4"/>
  <c r="H9" i="4"/>
  <c r="G9" i="4"/>
  <c r="F9" i="4"/>
  <c r="E9" i="4"/>
  <c r="D9" i="4"/>
  <c r="C9" i="4"/>
  <c r="L8" i="4"/>
  <c r="K8" i="4"/>
  <c r="J8" i="4"/>
  <c r="I8" i="4"/>
  <c r="H8" i="4"/>
  <c r="G8" i="4"/>
  <c r="F8" i="4"/>
  <c r="E8" i="4"/>
  <c r="D8" i="4"/>
  <c r="C8" i="4"/>
  <c r="L7" i="4"/>
  <c r="K7" i="4"/>
  <c r="J7" i="4"/>
  <c r="I7" i="4"/>
  <c r="H7" i="4"/>
  <c r="G7" i="4"/>
  <c r="F7" i="4"/>
  <c r="E7" i="4"/>
  <c r="D7" i="4"/>
  <c r="C7" i="4"/>
  <c r="L6" i="4"/>
  <c r="K6" i="4"/>
  <c r="J6" i="4"/>
  <c r="I6" i="4"/>
  <c r="H6" i="4"/>
  <c r="G6" i="4"/>
  <c r="F6" i="4"/>
  <c r="E6" i="4"/>
  <c r="D6" i="4"/>
  <c r="C6" i="4"/>
  <c r="L5" i="4"/>
  <c r="K5" i="4"/>
  <c r="J5" i="4"/>
  <c r="I5" i="4"/>
  <c r="H5" i="4"/>
  <c r="G5" i="4"/>
  <c r="F5" i="4"/>
  <c r="E5" i="4"/>
  <c r="D5" i="4"/>
  <c r="C5" i="4"/>
</calcChain>
</file>

<file path=xl/sharedStrings.xml><?xml version="1.0" encoding="utf-8"?>
<sst xmlns="http://schemas.openxmlformats.org/spreadsheetml/2006/main" count="219" uniqueCount="116">
  <si>
    <t>PRIX PLAFONDS DES DENRÉES ALIMENTAIRES EN GUINÉE</t>
  </si>
  <si>
    <t>Source: www.simprix.gov.gn | Données récupérées en Avril 2026</t>
  </si>
  <si>
    <t>Région</t>
  </si>
  <si>
    <t>Préfecture</t>
  </si>
  <si>
    <t>RIZ 5% 50kg</t>
  </si>
  <si>
    <t>RIZ 25% 50kg</t>
  </si>
  <si>
    <t>HUILE 20L</t>
  </si>
  <si>
    <t>OIGNON 25kg</t>
  </si>
  <si>
    <t>POULET 10kg</t>
  </si>
  <si>
    <t>CUISSE 10kg</t>
  </si>
  <si>
    <t>SUCRE 50kg</t>
  </si>
  <si>
    <t>FARINE 50kg</t>
  </si>
  <si>
    <t>LAIT 25kg</t>
  </si>
  <si>
    <t>RIZ 5% 25kg</t>
  </si>
  <si>
    <t>CONAKRY</t>
  </si>
  <si>
    <t>BOKE</t>
  </si>
  <si>
    <t>BOFFA</t>
  </si>
  <si>
    <t>FRIA</t>
  </si>
  <si>
    <t>GAOUAL</t>
  </si>
  <si>
    <t>KOUNDARA</t>
  </si>
  <si>
    <t>KINDIA</t>
  </si>
  <si>
    <t>COYAH</t>
  </si>
  <si>
    <t>DUBREKA</t>
  </si>
  <si>
    <t>FORECARIAH</t>
  </si>
  <si>
    <t>TELIMELE</t>
  </si>
  <si>
    <t>LABE</t>
  </si>
  <si>
    <t>KOUBIA</t>
  </si>
  <si>
    <t>LELOUMA</t>
  </si>
  <si>
    <t>MALI</t>
  </si>
  <si>
    <t>TOUGUE</t>
  </si>
  <si>
    <t>FARANAH</t>
  </si>
  <si>
    <t>DABOLA</t>
  </si>
  <si>
    <t>DINGUIRAYE</t>
  </si>
  <si>
    <t>KISSIDOUGOU</t>
  </si>
  <si>
    <t>NZEREKORE</t>
  </si>
  <si>
    <t>BEYLA</t>
  </si>
  <si>
    <t>GUECKEDOU</t>
  </si>
  <si>
    <t>LOLA</t>
  </si>
  <si>
    <t>MACENTA</t>
  </si>
  <si>
    <t>YOMOU</t>
  </si>
  <si>
    <t>MAMOU</t>
  </si>
  <si>
    <t>DALABA</t>
  </si>
  <si>
    <t>PITA</t>
  </si>
  <si>
    <t>KANKAN</t>
  </si>
  <si>
    <t>SIGUIRI</t>
  </si>
  <si>
    <t>MANDIANA</t>
  </si>
  <si>
    <t>KOUROUSSA</t>
  </si>
  <si>
    <t>KEROUANE</t>
  </si>
  <si>
    <t>CATALOGUE DES PRODUITS - IMAGES</t>
  </si>
  <si>
    <t>N°</t>
  </si>
  <si>
    <t>Produit</t>
  </si>
  <si>
    <t>Unité</t>
  </si>
  <si>
    <t>URL de l'image</t>
  </si>
  <si>
    <t>RIZ IMPORTE 5% BRISURES 50kg</t>
  </si>
  <si>
    <t>50 KG</t>
  </si>
  <si>
    <t>https://admin.simprix.gov.gn/web/mainAssets/media/uploads/photo//6f52c15fea9a6c31cf5985631e0a30f933eca51f7b9f8048.jpg</t>
  </si>
  <si>
    <t>RIZ IMPORTE 25% BRISURES 50kg</t>
  </si>
  <si>
    <t>https://admin.simprix.gov.gn/web/mainAssets/media/uploads/photo//17fce79004f1f0816f20cceaa1d35e7b44080f2e5e44d8da.jpg</t>
  </si>
  <si>
    <t>HUILE VEGETALE 20L</t>
  </si>
  <si>
    <t>20 L</t>
  </si>
  <si>
    <t>https://admin.simprix.gov.gn/web/mainAssets/media/uploads/photo//5297af8210be4d0885834154208f5fc6e1b604e60953ae9a.jpg</t>
  </si>
  <si>
    <t>OIGNON 25 KG</t>
  </si>
  <si>
    <t>25 KG</t>
  </si>
  <si>
    <t>https://admin.simprix.gov.gn/web/mainAssets/media/uploads/photo//5142089263bdbac55b2f61e69d786cbe9e9f7276fcfe4cb6.jpg</t>
  </si>
  <si>
    <t>POULET ENTIER IMPORTE 10 KG</t>
  </si>
  <si>
    <t>10 kg</t>
  </si>
  <si>
    <t>https://admin.simprix.gov.gn/web/mainAssets/media/uploads/photo//9cc77c154477394bdf3f8b77ae47bd1ca71211fc648d67d0.jpg</t>
  </si>
  <si>
    <t>CUISSE DE POULET IMPORTE 10 KG</t>
  </si>
  <si>
    <t>https://admin.simprix.gov.gn/web/mainAssets/media/uploads/photo//ea071c0dd8f20c049ff82fca4a534d8128153884c11ada31.jpg</t>
  </si>
  <si>
    <t>SUCRE 50 KG</t>
  </si>
  <si>
    <t>https://admin.simprix.gov.gn/web/mainAssets/media/uploads/photo//b0ac2727115535c618122965e580564a663e0374315e70e8.jpg</t>
  </si>
  <si>
    <t>FARINE 50 KG</t>
  </si>
  <si>
    <t>https://admin.simprix.gov.gn/web/mainAssets/media/uploads/photo//eafb0875681c90582d2eeed6f6c909356072b6c0f3b04505.jpg</t>
  </si>
  <si>
    <t>LAIT EN POUDRE 25KG</t>
  </si>
  <si>
    <t>https://admin.simprix.gov.gn/web/mainAssets/media/uploads/photo//7f8032afa378195aa4b7ff58a4ba737c070408468b4f3294.jpg</t>
  </si>
  <si>
    <t>RIZ IMPORTE 5% BRISURES 25KG</t>
  </si>
  <si>
    <t>https://admin.simprix.gov.gn/web/mainAssets/media/uploads/photo//9d37e442bc70e534859d4dd042de58b72528c48a0c1e56e3.jpg</t>
  </si>
  <si>
    <t>LIENS VERS LES PAGES SIMPRIX PAR LOCALITÉ</t>
  </si>
  <si>
    <t>URL de la page</t>
  </si>
  <si>
    <t>https://www.simprix.gov.gn/67bb5e36ad63ba84e38d76cda5d2e3e2/8e0350a6c79d76cca67cfd0ea9157229d35c0d2f3252c18f</t>
  </si>
  <si>
    <t>https://www.simprix.gov.gn/67bb5e36ad63ba84e38d76cda5d2e3e2/8cfbf5a52bd82f5c98b9d1b3d7ce7312146bfdaad2e4b876</t>
  </si>
  <si>
    <t>https://www.simprix.gov.gn/164346b82df9069987ef0029a0b44d9a/c70acfa6f4492b1c84cc278d902bd4e2f710fc01c19dd4d9</t>
  </si>
  <si>
    <t>https://www.simprix.gov.gn/164346b82df9069987ef0029a0b44d9a/584250600729b39aa2fc291c86b79c32ab8a91ad5709d805</t>
  </si>
  <si>
    <t>https://www.simprix.gov.gn/164346b82df9069987ef0029a0b44d9a/85542694c1629a5ac4e140f2fa33f675673ebb1cbcc5e8a2</t>
  </si>
  <si>
    <t>https://www.simprix.gov.gn/164346b82df9069987ef0029a0b44d9a/8f2ab1498d51cc65ae2646bc5866468160113eeef84e5cac</t>
  </si>
  <si>
    <t>https://www.simprix.gov.gn/67bb5e36ad63ba84e38d76cda5d2e3e2/ef49819e7faaba3ee014d5ce442c57c2ef51ca7001efa70e</t>
  </si>
  <si>
    <t>https://www.simprix.gov.gn/164346b82df9069987ef0029a0b44d9a/54934dda658902b078a70e61378439685678dcfd54fec111</t>
  </si>
  <si>
    <t>https://www.simprix.gov.gn/164346b82df9069987ef0029a0b44d9a/bc2fde314ed3463653ff3a0c0c38abfc53604c4505905bf9</t>
  </si>
  <si>
    <t>https://www.simprix.gov.gn/164346b82df9069987ef0029a0b44d9a/00e0ff9f921a725ea915cadb3449d407352be6f36103c788</t>
  </si>
  <si>
    <t>https://www.simprix.gov.gn/164346b82df9069987ef0029a0b44d9a/463111dc0f87b66e01ac5bcbda0f50002748bcad7bbf7bac</t>
  </si>
  <si>
    <t>https://www.simprix.gov.gn/67bb5e36ad63ba84e38d76cda5d2e3e2/e15133477de199b30684bd01de9d0a9105ab6d73a1e4fd8e</t>
  </si>
  <si>
    <t>https://www.simprix.gov.gn/164346b82df9069987ef0029a0b44d9a/29d34c31b6d5d8f5b8885c102f4287f1cb01bfa935a00e73</t>
  </si>
  <si>
    <t>https://www.simprix.gov.gn/164346b82df9069987ef0029a0b44d9a/ea0cec587b19522110b48f92621bcf1e05f968de86f24799</t>
  </si>
  <si>
    <t>https://www.simprix.gov.gn/164346b82df9069987ef0029a0b44d9a/90a306ee1b2c96051d75b427abc3ad8c02909bb7e6bacbea</t>
  </si>
  <si>
    <t>https://www.simprix.gov.gn/164346b82df9069987ef0029a0b44d9a/84516ae38fe9c481a841ab8c8a9a22de3577b23e20c9bad3</t>
  </si>
  <si>
    <t>https://www.simprix.gov.gn/67bb5e36ad63ba84e38d76cda5d2e3e2/65384f76657677feb5f32e29e534b257e21dd606b3af7668</t>
  </si>
  <si>
    <t>https://www.simprix.gov.gn/164346b82df9069987ef0029a0b44d9a/be5c46a66860bf6898b3a07178faabf2fe0758cb616bfa7b</t>
  </si>
  <si>
    <t>https://www.simprix.gov.gn/164346b82df9069987ef0029a0b44d9a/6ae4537d30f6a228e0a88e415d0e14aaaa3b0f03657751fc</t>
  </si>
  <si>
    <t>https://www.simprix.gov.gn/164346b82df9069987ef0029a0b44d9a/0dada4f37427415f020e8dbeedb2e73752c0b094328f7d9d</t>
  </si>
  <si>
    <t>https://www.simprix.gov.gn/67bb5e36ad63ba84e38d76cda5d2e3e2/5dda4f2f4b45d9104d4e9693b7fde337c087a4796a2ae27f</t>
  </si>
  <si>
    <t>https://www.simprix.gov.gn/164346b82df9069987ef0029a0b44d9a/8761c5d2594c6c07734880267be2e47ac92ad00258da6798</t>
  </si>
  <si>
    <t>https://www.simprix.gov.gn/164346b82df9069987ef0029a0b44d9a/83fc7866a3451b4959f2b0c902f9c0a9798d55e5e53bbb9b</t>
  </si>
  <si>
    <t>https://www.simprix.gov.gn/164346b82df9069987ef0029a0b44d9a/ac2b241cd25c1135d04d9f7d08e72d3ddf2af768e879e34e</t>
  </si>
  <si>
    <t>https://www.simprix.gov.gn/164346b82df9069987ef0029a0b44d9a/68d398f1de3dfe73e1f20b281c1c1192f50b0edf980e73fa</t>
  </si>
  <si>
    <t>https://www.simprix.gov.gn/164346b82df9069987ef0029a0b44d9a/a040a3850fe95dcb39d32b212e7123b2b5a7a2ca9bed4166</t>
  </si>
  <si>
    <t>https://www.simprix.gov.gn/67bb5e36ad63ba84e38d76cda5d2e3e2/2870ebb6a4747885bac66bbc70c2a652276b5069fb9cdbad</t>
  </si>
  <si>
    <t>https://www.simprix.gov.gn/164346b82df9069987ef0029a0b44d9a/5e0cc4f5e59ec75c2ada98df43b55b6f080d9aa6e121bfd7</t>
  </si>
  <si>
    <t>https://www.simprix.gov.gn/164346b82df9069987ef0029a0b44d9a/311337d10a04db6ea645a4f8495bc0928b7e63c0bf8e297d</t>
  </si>
  <si>
    <t>https://www.simprix.gov.gn/67bb5e36ad63ba84e38d76cda5d2e3e2/bebb13402f45c8ec03b615484614fc0276a42a74a286e816</t>
  </si>
  <si>
    <t>https://www.simprix.gov.gn/164346b82df9069987ef0029a0b44d9a/31556cb99fbcc04fb60cde194f27b9dc09ee06bb8732d339</t>
  </si>
  <si>
    <t>https://www.simprix.gov.gn/164346b82df9069987ef0029a0b44d9a/8f24e366b82304656b971ab550ccce52434a0c7b67f8fb4a</t>
  </si>
  <si>
    <t>https://www.simprix.gov.gn/164346b82df9069987ef0029a0b44d9a/6143777b607dd1f8e687fbef7a908e696c90752b6756a3bb</t>
  </si>
  <si>
    <t>https://www.simprix.gov.gn/164346b82df9069987ef0029a0b44d9a/7a315567244e6afeee5accba302a47ff5c4e08dc8c0d42cc</t>
  </si>
  <si>
    <t>PRIX MOYENS PAR RÉGION</t>
  </si>
  <si>
    <t>Moyenne des prix par préfecture pour chaque région</t>
  </si>
  <si>
    <t>Nb Préf.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</si>
</sst>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u/>
      <sz val="9"/>
      <color rgb="FF0563C1"/>
      <name val="Arial"/>
    </font>
    <font>
      <b/>
      <sz val="11"/>
      <color theme="1"/>
      <name val="Calibri"/>
      <family val="2"/>
      <scheme val="minor"/>
    </font>
    <font>
      <b/>
      <sz val="14"/>
      <color rgb="FF1F4E79"/>
      <name val="Calibri"/>
      <family val="2"/>
      <scheme val="minor"/>
    </font>
    <font>
      <i/>
      <sz val="10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auto="1"/>
      </bottom>
      <diagonal/>
    </border>
    <border>
      <left style="medium">
        <color auto="1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>
        <color auto="1"/>
      </left>
      <right style="thin">
        <color rgb="FFB0B0B0"/>
      </right>
      <top style="thin">
        <color rgb="FFB0B0B0"/>
      </top>
      <bottom style="medium">
        <color auto="1"/>
      </bottom>
      <diagonal/>
    </border>
    <border>
      <left style="thin">
        <color rgb="FFB0B0B0"/>
      </left>
      <right style="medium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medium">
        <color auto="1"/>
      </right>
      <top style="thin">
        <color rgb="FFB0B0B0"/>
      </top>
      <bottom style="medium">
        <color auto="1"/>
      </bottom>
      <diagonal/>
    </border>
    <border>
      <left style="medium">
        <color auto="1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medium">
        <color auto="1"/>
      </right>
      <top/>
      <bottom style="thin">
        <color rgb="FFB0B0B0"/>
      </bottom>
      <diagonal/>
    </border>
    <border>
      <left style="medium">
        <color auto="1"/>
      </left>
      <right style="thin">
        <color rgb="FFB0B0B0"/>
      </right>
      <top style="medium">
        <color auto="1"/>
      </top>
      <bottom style="medium">
        <color rgb="FFFFFFFF"/>
      </bottom>
      <diagonal/>
    </border>
    <border>
      <left style="thin">
        <color rgb="FFB0B0B0"/>
      </left>
      <right style="thin">
        <color rgb="FFB0B0B0"/>
      </right>
      <top style="medium">
        <color auto="1"/>
      </top>
      <bottom style="medium">
        <color rgb="FFFFFFFF"/>
      </bottom>
      <diagonal/>
    </border>
    <border>
      <left style="thin">
        <color rgb="FFB0B0B0"/>
      </left>
      <right style="medium">
        <color auto="1"/>
      </right>
      <top style="medium">
        <color auto="1"/>
      </top>
      <bottom style="medium">
        <color rgb="FFFFFFF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/>
    <xf numFmtId="3" fontId="5" fillId="0" borderId="1" xfId="0" applyNumberFormat="1" applyFont="1" applyBorder="1" applyAlignment="1">
      <alignment horizontal="right"/>
    </xf>
    <xf numFmtId="0" fontId="0" fillId="0" borderId="1" xfId="0" applyBorder="1"/>
    <xf numFmtId="0" fontId="3" fillId="2" borderId="1" xfId="0" applyFont="1" applyFill="1" applyBorder="1"/>
    <xf numFmtId="0" fontId="6" fillId="0" borderId="1" xfId="0" applyFont="1" applyBorder="1"/>
    <xf numFmtId="0" fontId="1" fillId="0" borderId="0" xfId="0" applyFont="1"/>
    <xf numFmtId="0" fontId="0" fillId="0" borderId="0" xfId="0"/>
    <xf numFmtId="0" fontId="8" fillId="0" borderId="0" xfId="0" applyFont="1"/>
    <xf numFmtId="0" fontId="9" fillId="0" borderId="0" xfId="0" applyFont="1"/>
    <xf numFmtId="0" fontId="0" fillId="5" borderId="3" xfId="0" applyFill="1" applyBorder="1" applyAlignment="1">
      <alignment horizontal="center"/>
    </xf>
    <xf numFmtId="3" fontId="0" fillId="5" borderId="3" xfId="0" applyNumberFormat="1" applyFill="1" applyBorder="1"/>
    <xf numFmtId="0" fontId="0" fillId="6" borderId="3" xfId="0" applyFill="1" applyBorder="1" applyAlignment="1">
      <alignment horizontal="center"/>
    </xf>
    <xf numFmtId="3" fontId="0" fillId="6" borderId="3" xfId="0" applyNumberFormat="1" applyFill="1" applyBorder="1"/>
    <xf numFmtId="0" fontId="0" fillId="6" borderId="4" xfId="0" applyFill="1" applyBorder="1" applyAlignment="1">
      <alignment horizontal="center"/>
    </xf>
    <xf numFmtId="3" fontId="0" fillId="6" borderId="4" xfId="0" applyNumberFormat="1" applyFill="1" applyBorder="1"/>
    <xf numFmtId="0" fontId="7" fillId="5" borderId="5" xfId="0" applyFont="1" applyFill="1" applyBorder="1"/>
    <xf numFmtId="0" fontId="7" fillId="6" borderId="5" xfId="0" applyFont="1" applyFill="1" applyBorder="1"/>
    <xf numFmtId="0" fontId="7" fillId="6" borderId="6" xfId="0" applyFont="1" applyFill="1" applyBorder="1"/>
    <xf numFmtId="3" fontId="0" fillId="5" borderId="7" xfId="0" applyNumberFormat="1" applyFill="1" applyBorder="1"/>
    <xf numFmtId="3" fontId="0" fillId="6" borderId="7" xfId="0" applyNumberFormat="1" applyFill="1" applyBorder="1"/>
    <xf numFmtId="3" fontId="0" fillId="6" borderId="8" xfId="0" applyNumberFormat="1" applyFill="1" applyBorder="1"/>
    <xf numFmtId="0" fontId="7" fillId="5" borderId="9" xfId="0" applyFont="1" applyFill="1" applyBorder="1"/>
    <xf numFmtId="0" fontId="0" fillId="5" borderId="2" xfId="0" applyFill="1" applyBorder="1" applyAlignment="1">
      <alignment horizontal="center"/>
    </xf>
    <xf numFmtId="3" fontId="0" fillId="5" borderId="2" xfId="0" applyNumberFormat="1" applyFill="1" applyBorder="1"/>
    <xf numFmtId="3" fontId="0" fillId="5" borderId="10" xfId="0" applyNumberFormat="1" applyFill="1" applyBorder="1"/>
    <xf numFmtId="0" fontId="10" fillId="4" borderId="11" xfId="0" applyFont="1" applyFill="1" applyBorder="1" applyAlignment="1">
      <alignment horizontal="center"/>
    </xf>
    <xf numFmtId="0" fontId="10" fillId="4" borderId="12" xfId="0" applyFont="1" applyFill="1" applyBorder="1" applyAlignment="1">
      <alignment horizontal="center"/>
    </xf>
    <xf numFmtId="0" fontId="10" fillId="4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4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75DC8DE2-2DEE-4D8D-996A-4367391FEF6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dd65327-3cac-49bf-8c3f-6324ff3d304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dmin.simprix.gov.gn/web/mainAssets/media/uploads/photo/eafb0875681c90582d2eeed6f6c909356072b6c0f3b04505.jpg" TargetMode="External"/><Relationship Id="rId3" Type="http://schemas.openxmlformats.org/officeDocument/2006/relationships/hyperlink" Target="https://admin.simprix.gov.gn/web/mainAssets/media/uploads/photo/5297af8210be4d0885834154208f5fc6e1b604e60953ae9a.jpg" TargetMode="External"/><Relationship Id="rId7" Type="http://schemas.openxmlformats.org/officeDocument/2006/relationships/hyperlink" Target="https://admin.simprix.gov.gn/web/mainAssets/media/uploads/photo/b0ac2727115535c618122965e580564a663e0374315e70e8.jpg" TargetMode="External"/><Relationship Id="rId2" Type="http://schemas.openxmlformats.org/officeDocument/2006/relationships/hyperlink" Target="https://admin.simprix.gov.gn/web/mainAssets/media/uploads/photo/17fce79004f1f0816f20cceaa1d35e7b44080f2e5e44d8da.jpg" TargetMode="External"/><Relationship Id="rId1" Type="http://schemas.openxmlformats.org/officeDocument/2006/relationships/hyperlink" Target="https://admin.simprix.gov.gn/web/mainAssets/media/uploads/photo/6f52c15fea9a6c31cf5985631e0a30f933eca51f7b9f8048.jpg" TargetMode="External"/><Relationship Id="rId6" Type="http://schemas.openxmlformats.org/officeDocument/2006/relationships/hyperlink" Target="https://admin.simprix.gov.gn/web/mainAssets/media/uploads/photo/ea071c0dd8f20c049ff82fca4a534d8128153884c11ada31.jpg" TargetMode="External"/><Relationship Id="rId5" Type="http://schemas.openxmlformats.org/officeDocument/2006/relationships/hyperlink" Target="https://admin.simprix.gov.gn/web/mainAssets/media/uploads/photo/9cc77c154477394bdf3f8b77ae47bd1ca71211fc648d67d0.jpg" TargetMode="External"/><Relationship Id="rId10" Type="http://schemas.openxmlformats.org/officeDocument/2006/relationships/hyperlink" Target="https://admin.simprix.gov.gn/web/mainAssets/media/uploads/photo/9d37e442bc70e534859d4dd042de58b72528c48a0c1e56e3.jpg" TargetMode="External"/><Relationship Id="rId4" Type="http://schemas.openxmlformats.org/officeDocument/2006/relationships/hyperlink" Target="https://admin.simprix.gov.gn/web/mainAssets/media/uploads/photo/5142089263bdbac55b2f61e69d786cbe9e9f7276fcfe4cb6.jpg" TargetMode="External"/><Relationship Id="rId9" Type="http://schemas.openxmlformats.org/officeDocument/2006/relationships/hyperlink" Target="https://admin.simprix.gov.gn/web/mainAssets/media/uploads/photo/7f8032afa378195aa4b7ff58a4ba737c070408468b4f3294.jpg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imprix.gov.gn/164346b82df9069987ef0029a0b44d9a/29d34c31b6d5d8f5b8885c102f4287f1cb01bfa935a00e73" TargetMode="External"/><Relationship Id="rId18" Type="http://schemas.openxmlformats.org/officeDocument/2006/relationships/hyperlink" Target="https://www.simprix.gov.gn/164346b82df9069987ef0029a0b44d9a/be5c46a66860bf6898b3a07178faabf2fe0758cb616bfa7b" TargetMode="External"/><Relationship Id="rId26" Type="http://schemas.openxmlformats.org/officeDocument/2006/relationships/hyperlink" Target="https://www.simprix.gov.gn/164346b82df9069987ef0029a0b44d9a/a040a3850fe95dcb39d32b212e7123b2b5a7a2ca9bed4166" TargetMode="External"/><Relationship Id="rId3" Type="http://schemas.openxmlformats.org/officeDocument/2006/relationships/hyperlink" Target="https://www.simprix.gov.gn/164346b82df9069987ef0029a0b44d9a/c70acfa6f4492b1c84cc278d902bd4e2f710fc01c19dd4d9" TargetMode="External"/><Relationship Id="rId21" Type="http://schemas.openxmlformats.org/officeDocument/2006/relationships/hyperlink" Target="https://www.simprix.gov.gn/67bb5e36ad63ba84e38d76cda5d2e3e2/5dda4f2f4b45d9104d4e9693b7fde337c087a4796a2ae27f" TargetMode="External"/><Relationship Id="rId34" Type="http://schemas.openxmlformats.org/officeDocument/2006/relationships/hyperlink" Target="https://www.simprix.gov.gn/164346b82df9069987ef0029a0b44d9a/7a315567244e6afeee5accba302a47ff5c4e08dc8c0d42cc" TargetMode="External"/><Relationship Id="rId7" Type="http://schemas.openxmlformats.org/officeDocument/2006/relationships/hyperlink" Target="https://www.simprix.gov.gn/67bb5e36ad63ba84e38d76cda5d2e3e2/ef49819e7faaba3ee014d5ce442c57c2ef51ca7001efa70e" TargetMode="External"/><Relationship Id="rId12" Type="http://schemas.openxmlformats.org/officeDocument/2006/relationships/hyperlink" Target="https://www.simprix.gov.gn/67bb5e36ad63ba84e38d76cda5d2e3e2/e15133477de199b30684bd01de9d0a9105ab6d73a1e4fd8e" TargetMode="External"/><Relationship Id="rId17" Type="http://schemas.openxmlformats.org/officeDocument/2006/relationships/hyperlink" Target="https://www.simprix.gov.gn/67bb5e36ad63ba84e38d76cda5d2e3e2/65384f76657677feb5f32e29e534b257e21dd606b3af7668" TargetMode="External"/><Relationship Id="rId25" Type="http://schemas.openxmlformats.org/officeDocument/2006/relationships/hyperlink" Target="https://www.simprix.gov.gn/164346b82df9069987ef0029a0b44d9a/68d398f1de3dfe73e1f20b281c1c1192f50b0edf980e73fa" TargetMode="External"/><Relationship Id="rId33" Type="http://schemas.openxmlformats.org/officeDocument/2006/relationships/hyperlink" Target="https://www.simprix.gov.gn/164346b82df9069987ef0029a0b44d9a/6143777b607dd1f8e687fbef7a908e696c90752b6756a3bb" TargetMode="External"/><Relationship Id="rId2" Type="http://schemas.openxmlformats.org/officeDocument/2006/relationships/hyperlink" Target="https://www.simprix.gov.gn/67bb5e36ad63ba84e38d76cda5d2e3e2/8cfbf5a52bd82f5c98b9d1b3d7ce7312146bfdaad2e4b876" TargetMode="External"/><Relationship Id="rId16" Type="http://schemas.openxmlformats.org/officeDocument/2006/relationships/hyperlink" Target="https://www.simprix.gov.gn/164346b82df9069987ef0029a0b44d9a/84516ae38fe9c481a841ab8c8a9a22de3577b23e20c9bad3" TargetMode="External"/><Relationship Id="rId20" Type="http://schemas.openxmlformats.org/officeDocument/2006/relationships/hyperlink" Target="https://www.simprix.gov.gn/164346b82df9069987ef0029a0b44d9a/0dada4f37427415f020e8dbeedb2e73752c0b094328f7d9d" TargetMode="External"/><Relationship Id="rId29" Type="http://schemas.openxmlformats.org/officeDocument/2006/relationships/hyperlink" Target="https://www.simprix.gov.gn/164346b82df9069987ef0029a0b44d9a/311337d10a04db6ea645a4f8495bc0928b7e63c0bf8e297d" TargetMode="External"/><Relationship Id="rId1" Type="http://schemas.openxmlformats.org/officeDocument/2006/relationships/hyperlink" Target="https://www.simprix.gov.gn/67bb5e36ad63ba84e38d76cda5d2e3e2/8e0350a6c79d76cca67cfd0ea9157229d35c0d2f3252c18f" TargetMode="External"/><Relationship Id="rId6" Type="http://schemas.openxmlformats.org/officeDocument/2006/relationships/hyperlink" Target="https://www.simprix.gov.gn/164346b82df9069987ef0029a0b44d9a/8f2ab1498d51cc65ae2646bc5866468160113eeef84e5cac" TargetMode="External"/><Relationship Id="rId11" Type="http://schemas.openxmlformats.org/officeDocument/2006/relationships/hyperlink" Target="https://www.simprix.gov.gn/164346b82df9069987ef0029a0b44d9a/463111dc0f87b66e01ac5bcbda0f50002748bcad7bbf7bac" TargetMode="External"/><Relationship Id="rId24" Type="http://schemas.openxmlformats.org/officeDocument/2006/relationships/hyperlink" Target="https://www.simprix.gov.gn/164346b82df9069987ef0029a0b44d9a/ac2b241cd25c1135d04d9f7d08e72d3ddf2af768e879e34e" TargetMode="External"/><Relationship Id="rId32" Type="http://schemas.openxmlformats.org/officeDocument/2006/relationships/hyperlink" Target="https://www.simprix.gov.gn/164346b82df9069987ef0029a0b44d9a/8f24e366b82304656b971ab550ccce52434a0c7b67f8fb4a" TargetMode="External"/><Relationship Id="rId5" Type="http://schemas.openxmlformats.org/officeDocument/2006/relationships/hyperlink" Target="https://www.simprix.gov.gn/164346b82df9069987ef0029a0b44d9a/85542694c1629a5ac4e140f2fa33f675673ebb1cbcc5e8a2" TargetMode="External"/><Relationship Id="rId15" Type="http://schemas.openxmlformats.org/officeDocument/2006/relationships/hyperlink" Target="https://www.simprix.gov.gn/164346b82df9069987ef0029a0b44d9a/90a306ee1b2c96051d75b427abc3ad8c02909bb7e6bacbea" TargetMode="External"/><Relationship Id="rId23" Type="http://schemas.openxmlformats.org/officeDocument/2006/relationships/hyperlink" Target="https://www.simprix.gov.gn/164346b82df9069987ef0029a0b44d9a/83fc7866a3451b4959f2b0c902f9c0a9798d55e5e53bbb9b" TargetMode="External"/><Relationship Id="rId28" Type="http://schemas.openxmlformats.org/officeDocument/2006/relationships/hyperlink" Target="https://www.simprix.gov.gn/164346b82df9069987ef0029a0b44d9a/5e0cc4f5e59ec75c2ada98df43b55b6f080d9aa6e121bfd7" TargetMode="External"/><Relationship Id="rId10" Type="http://schemas.openxmlformats.org/officeDocument/2006/relationships/hyperlink" Target="https://www.simprix.gov.gn/164346b82df9069987ef0029a0b44d9a/00e0ff9f921a725ea915cadb3449d407352be6f36103c788" TargetMode="External"/><Relationship Id="rId19" Type="http://schemas.openxmlformats.org/officeDocument/2006/relationships/hyperlink" Target="https://www.simprix.gov.gn/164346b82df9069987ef0029a0b44d9a/6ae4537d30f6a228e0a88e415d0e14aaaa3b0f03657751fc" TargetMode="External"/><Relationship Id="rId31" Type="http://schemas.openxmlformats.org/officeDocument/2006/relationships/hyperlink" Target="https://www.simprix.gov.gn/164346b82df9069987ef0029a0b44d9a/31556cb99fbcc04fb60cde194f27b9dc09ee06bb8732d339" TargetMode="External"/><Relationship Id="rId4" Type="http://schemas.openxmlformats.org/officeDocument/2006/relationships/hyperlink" Target="https://www.simprix.gov.gn/164346b82df9069987ef0029a0b44d9a/584250600729b39aa2fc291c86b79c32ab8a91ad5709d805" TargetMode="External"/><Relationship Id="rId9" Type="http://schemas.openxmlformats.org/officeDocument/2006/relationships/hyperlink" Target="https://www.simprix.gov.gn/164346b82df9069987ef0029a0b44d9a/bc2fde314ed3463653ff3a0c0c38abfc53604c4505905bf9" TargetMode="External"/><Relationship Id="rId14" Type="http://schemas.openxmlformats.org/officeDocument/2006/relationships/hyperlink" Target="https://www.simprix.gov.gn/164346b82df9069987ef0029a0b44d9a/ea0cec587b19522110b48f92621bcf1e05f968de86f24799" TargetMode="External"/><Relationship Id="rId22" Type="http://schemas.openxmlformats.org/officeDocument/2006/relationships/hyperlink" Target="https://www.simprix.gov.gn/164346b82df9069987ef0029a0b44d9a/8761c5d2594c6c07734880267be2e47ac92ad00258da6798" TargetMode="External"/><Relationship Id="rId27" Type="http://schemas.openxmlformats.org/officeDocument/2006/relationships/hyperlink" Target="https://www.simprix.gov.gn/67bb5e36ad63ba84e38d76cda5d2e3e2/2870ebb6a4747885bac66bbc70c2a652276b5069fb9cdbad" TargetMode="External"/><Relationship Id="rId30" Type="http://schemas.openxmlformats.org/officeDocument/2006/relationships/hyperlink" Target="https://www.simprix.gov.gn/67bb5e36ad63ba84e38d76cda5d2e3e2/bebb13402f45c8ec03b615484614fc0276a42a74a286e816" TargetMode="External"/><Relationship Id="rId8" Type="http://schemas.openxmlformats.org/officeDocument/2006/relationships/hyperlink" Target="https://www.simprix.gov.gn/164346b82df9069987ef0029a0b44d9a/54934dda658902b078a70e61378439685678dcfd54fec11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A7" workbookViewId="0">
      <selection activeCell="E21" sqref="E21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12" width="13" customWidth="1"/>
  </cols>
  <sheetData>
    <row r="1" spans="1:12" ht="17.399999999999999" x14ac:dyDescent="0.3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x14ac:dyDescent="0.3">
      <c r="A2" s="2" t="s">
        <v>1</v>
      </c>
    </row>
    <row r="4" spans="1:12" ht="30" customHeight="1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spans="1:12" x14ac:dyDescent="0.3">
      <c r="A5" s="4" t="s">
        <v>14</v>
      </c>
      <c r="B5" s="5" t="s">
        <v>14</v>
      </c>
      <c r="C5" s="6">
        <v>280000</v>
      </c>
      <c r="D5" s="6">
        <v>260000</v>
      </c>
      <c r="E5" s="6">
        <v>305000</v>
      </c>
      <c r="F5" s="6">
        <v>270000</v>
      </c>
      <c r="G5" s="6">
        <v>310000</v>
      </c>
      <c r="H5" s="6">
        <v>220000</v>
      </c>
      <c r="I5" s="6">
        <v>350000</v>
      </c>
      <c r="J5" s="6">
        <v>360000</v>
      </c>
      <c r="K5" s="6">
        <v>980000</v>
      </c>
      <c r="L5" s="6">
        <v>140000</v>
      </c>
    </row>
    <row r="6" spans="1:12" x14ac:dyDescent="0.3">
      <c r="A6" s="4" t="s">
        <v>15</v>
      </c>
      <c r="B6" s="5" t="s">
        <v>15</v>
      </c>
      <c r="C6" s="6">
        <v>300500</v>
      </c>
      <c r="D6" s="6">
        <v>280500</v>
      </c>
      <c r="E6" s="6">
        <v>325500</v>
      </c>
      <c r="F6" s="6">
        <v>290500</v>
      </c>
      <c r="G6" s="6">
        <v>335500</v>
      </c>
      <c r="H6" s="6">
        <v>245500</v>
      </c>
      <c r="I6" s="6">
        <v>375500</v>
      </c>
      <c r="J6" s="6">
        <v>380500</v>
      </c>
      <c r="K6" s="6">
        <v>1000500</v>
      </c>
      <c r="L6" s="6">
        <v>155500</v>
      </c>
    </row>
    <row r="7" spans="1:12" x14ac:dyDescent="0.3">
      <c r="A7" s="7"/>
      <c r="B7" s="5" t="s">
        <v>16</v>
      </c>
      <c r="C7" s="6">
        <v>298000</v>
      </c>
      <c r="D7" s="6">
        <v>278000</v>
      </c>
      <c r="E7" s="6">
        <v>323000</v>
      </c>
      <c r="F7" s="6">
        <v>288000</v>
      </c>
      <c r="G7" s="6">
        <v>333000</v>
      </c>
      <c r="H7" s="6">
        <v>243000</v>
      </c>
      <c r="I7" s="6">
        <v>373000</v>
      </c>
      <c r="J7" s="6">
        <v>378000</v>
      </c>
      <c r="K7" s="6">
        <v>998000</v>
      </c>
      <c r="L7" s="6">
        <v>153000</v>
      </c>
    </row>
    <row r="8" spans="1:12" x14ac:dyDescent="0.3">
      <c r="A8" s="7"/>
      <c r="B8" s="5" t="s">
        <v>17</v>
      </c>
      <c r="C8" s="6">
        <v>295000</v>
      </c>
      <c r="D8" s="6">
        <v>275000</v>
      </c>
      <c r="E8" s="6">
        <v>320000</v>
      </c>
      <c r="F8" s="6">
        <v>285000</v>
      </c>
      <c r="G8" s="6">
        <v>330000</v>
      </c>
      <c r="H8" s="6">
        <v>240000</v>
      </c>
      <c r="I8" s="6">
        <v>370000</v>
      </c>
      <c r="J8" s="6">
        <v>375000</v>
      </c>
      <c r="K8" s="6">
        <v>995000</v>
      </c>
      <c r="L8" s="6">
        <v>150000</v>
      </c>
    </row>
    <row r="9" spans="1:12" x14ac:dyDescent="0.3">
      <c r="A9" s="7"/>
      <c r="B9" s="5" t="s">
        <v>18</v>
      </c>
      <c r="C9" s="6">
        <v>305000</v>
      </c>
      <c r="D9" s="6">
        <v>285000</v>
      </c>
      <c r="E9" s="6">
        <v>330000</v>
      </c>
      <c r="F9" s="6">
        <v>295000</v>
      </c>
      <c r="G9" s="6">
        <v>340000</v>
      </c>
      <c r="H9" s="6">
        <v>250000</v>
      </c>
      <c r="I9" s="6">
        <v>380000</v>
      </c>
      <c r="J9" s="6">
        <v>385000</v>
      </c>
      <c r="K9" s="6">
        <v>1005000</v>
      </c>
      <c r="L9" s="6">
        <v>160000</v>
      </c>
    </row>
    <row r="10" spans="1:12" x14ac:dyDescent="0.3">
      <c r="A10" s="7"/>
      <c r="B10" s="5" t="s">
        <v>19</v>
      </c>
      <c r="C10" s="6">
        <v>310000</v>
      </c>
      <c r="D10" s="6">
        <v>290000</v>
      </c>
      <c r="E10" s="6">
        <v>335000</v>
      </c>
      <c r="F10" s="6">
        <v>300000</v>
      </c>
      <c r="G10" s="6">
        <v>345000</v>
      </c>
      <c r="H10" s="6">
        <v>255000</v>
      </c>
      <c r="I10" s="6">
        <v>385000</v>
      </c>
      <c r="J10" s="6">
        <v>390000</v>
      </c>
      <c r="K10" s="6">
        <v>1010000</v>
      </c>
      <c r="L10" s="6">
        <v>165000</v>
      </c>
    </row>
    <row r="11" spans="1:12" x14ac:dyDescent="0.3">
      <c r="A11" s="4" t="s">
        <v>20</v>
      </c>
      <c r="B11" s="5" t="s">
        <v>20</v>
      </c>
      <c r="C11" s="6">
        <v>289500</v>
      </c>
      <c r="D11" s="6">
        <v>269500</v>
      </c>
      <c r="E11" s="6">
        <v>314500</v>
      </c>
      <c r="F11" s="6">
        <v>279500</v>
      </c>
      <c r="G11" s="6">
        <v>319500</v>
      </c>
      <c r="H11" s="6">
        <v>229500</v>
      </c>
      <c r="I11" s="6">
        <v>364500</v>
      </c>
      <c r="J11" s="6">
        <v>369500</v>
      </c>
      <c r="K11" s="6">
        <v>989500</v>
      </c>
      <c r="L11" s="6">
        <v>150000</v>
      </c>
    </row>
    <row r="12" spans="1:12" x14ac:dyDescent="0.3">
      <c r="A12" s="7"/>
      <c r="B12" s="5" t="s">
        <v>21</v>
      </c>
      <c r="C12" s="6">
        <v>285000</v>
      </c>
      <c r="D12" s="6">
        <v>265000</v>
      </c>
      <c r="E12" s="6">
        <v>310000</v>
      </c>
      <c r="F12" s="6">
        <v>275000</v>
      </c>
      <c r="G12" s="6">
        <v>315000</v>
      </c>
      <c r="H12" s="6">
        <v>225000</v>
      </c>
      <c r="I12" s="6">
        <v>360000</v>
      </c>
      <c r="J12" s="6">
        <v>365000</v>
      </c>
      <c r="K12" s="6">
        <v>985000</v>
      </c>
      <c r="L12" s="6">
        <v>145000</v>
      </c>
    </row>
    <row r="13" spans="1:12" x14ac:dyDescent="0.3">
      <c r="A13" s="7"/>
      <c r="B13" s="5" t="s">
        <v>22</v>
      </c>
      <c r="C13" s="6">
        <v>286000</v>
      </c>
      <c r="D13" s="6">
        <v>266000</v>
      </c>
      <c r="E13" s="6">
        <v>311000</v>
      </c>
      <c r="F13" s="6">
        <v>276000</v>
      </c>
      <c r="G13" s="6">
        <v>316000</v>
      </c>
      <c r="H13" s="6">
        <v>226000</v>
      </c>
      <c r="I13" s="6">
        <v>361000</v>
      </c>
      <c r="J13" s="6">
        <v>366000</v>
      </c>
      <c r="K13" s="6">
        <v>986000</v>
      </c>
      <c r="L13" s="6">
        <v>146000</v>
      </c>
    </row>
    <row r="14" spans="1:12" x14ac:dyDescent="0.3">
      <c r="A14" s="7"/>
      <c r="B14" s="5" t="s">
        <v>23</v>
      </c>
      <c r="C14" s="6">
        <v>292000</v>
      </c>
      <c r="D14" s="6">
        <v>272000</v>
      </c>
      <c r="E14" s="6">
        <v>317000</v>
      </c>
      <c r="F14" s="6">
        <v>282000</v>
      </c>
      <c r="G14" s="6">
        <v>322000</v>
      </c>
      <c r="H14" s="6">
        <v>232000</v>
      </c>
      <c r="I14" s="6">
        <v>367000</v>
      </c>
      <c r="J14" s="6">
        <v>372000</v>
      </c>
      <c r="K14" s="6">
        <v>992000</v>
      </c>
      <c r="L14" s="6">
        <v>152000</v>
      </c>
    </row>
    <row r="15" spans="1:12" x14ac:dyDescent="0.3">
      <c r="A15" s="7"/>
      <c r="B15" s="5" t="s">
        <v>24</v>
      </c>
      <c r="C15" s="6">
        <v>298000</v>
      </c>
      <c r="D15" s="6">
        <v>278000</v>
      </c>
      <c r="E15" s="6">
        <v>323000</v>
      </c>
      <c r="F15" s="6">
        <v>288000</v>
      </c>
      <c r="G15" s="6">
        <v>328000</v>
      </c>
      <c r="H15" s="6">
        <v>238000</v>
      </c>
      <c r="I15" s="6">
        <v>373000</v>
      </c>
      <c r="J15" s="6">
        <v>378000</v>
      </c>
      <c r="K15" s="6">
        <v>998000</v>
      </c>
      <c r="L15" s="6">
        <v>158000</v>
      </c>
    </row>
    <row r="16" spans="1:12" x14ac:dyDescent="0.3">
      <c r="A16" s="4" t="s">
        <v>25</v>
      </c>
      <c r="B16" s="5" t="s">
        <v>25</v>
      </c>
      <c r="C16" s="6">
        <v>305000</v>
      </c>
      <c r="D16" s="6">
        <v>285000</v>
      </c>
      <c r="E16" s="6">
        <v>330000</v>
      </c>
      <c r="F16" s="6">
        <v>295000</v>
      </c>
      <c r="G16" s="6">
        <v>335000</v>
      </c>
      <c r="H16" s="6">
        <v>245000</v>
      </c>
      <c r="I16" s="6">
        <v>375000</v>
      </c>
      <c r="J16" s="6">
        <v>385000</v>
      </c>
      <c r="K16" s="6">
        <v>1005000</v>
      </c>
      <c r="L16" s="6">
        <v>157500</v>
      </c>
    </row>
    <row r="17" spans="1:12" x14ac:dyDescent="0.3">
      <c r="A17" s="7"/>
      <c r="B17" s="5" t="s">
        <v>26</v>
      </c>
      <c r="C17" s="6">
        <v>310000</v>
      </c>
      <c r="D17" s="6">
        <v>290000</v>
      </c>
      <c r="E17" s="6">
        <v>335000</v>
      </c>
      <c r="F17" s="6">
        <v>300000</v>
      </c>
      <c r="G17" s="6">
        <v>340000</v>
      </c>
      <c r="H17" s="6">
        <v>250000</v>
      </c>
      <c r="I17" s="6">
        <v>380000</v>
      </c>
      <c r="J17" s="6">
        <v>390000</v>
      </c>
      <c r="K17" s="6">
        <v>1010000</v>
      </c>
      <c r="L17" s="6">
        <v>162500</v>
      </c>
    </row>
    <row r="18" spans="1:12" x14ac:dyDescent="0.3">
      <c r="A18" s="7"/>
      <c r="B18" s="5" t="s">
        <v>27</v>
      </c>
      <c r="C18" s="6">
        <v>308000</v>
      </c>
      <c r="D18" s="6">
        <v>288000</v>
      </c>
      <c r="E18" s="6">
        <v>333000</v>
      </c>
      <c r="F18" s="6">
        <v>298000</v>
      </c>
      <c r="G18" s="6">
        <v>338000</v>
      </c>
      <c r="H18" s="6">
        <v>248000</v>
      </c>
      <c r="I18" s="6">
        <v>378000</v>
      </c>
      <c r="J18" s="6">
        <v>388000</v>
      </c>
      <c r="K18" s="6">
        <v>1008000</v>
      </c>
      <c r="L18" s="6">
        <v>160500</v>
      </c>
    </row>
    <row r="19" spans="1:12" x14ac:dyDescent="0.3">
      <c r="A19" s="7"/>
      <c r="B19" s="5" t="s">
        <v>28</v>
      </c>
      <c r="C19" s="6">
        <v>315000</v>
      </c>
      <c r="D19" s="6">
        <v>295000</v>
      </c>
      <c r="E19" s="6">
        <v>340000</v>
      </c>
      <c r="F19" s="6">
        <v>305000</v>
      </c>
      <c r="G19" s="6">
        <v>345000</v>
      </c>
      <c r="H19" s="6">
        <v>255000</v>
      </c>
      <c r="I19" s="6">
        <v>385000</v>
      </c>
      <c r="J19" s="6">
        <v>395000</v>
      </c>
      <c r="K19" s="6">
        <v>1015000</v>
      </c>
      <c r="L19" s="6">
        <v>167500</v>
      </c>
    </row>
    <row r="20" spans="1:12" x14ac:dyDescent="0.3">
      <c r="A20" s="7"/>
      <c r="B20" s="5" t="s">
        <v>29</v>
      </c>
      <c r="C20" s="6">
        <v>312000</v>
      </c>
      <c r="D20" s="6">
        <v>292000</v>
      </c>
      <c r="E20" s="6">
        <v>337000</v>
      </c>
      <c r="F20" s="6">
        <v>302000</v>
      </c>
      <c r="G20" s="6">
        <v>342000</v>
      </c>
      <c r="H20" s="6">
        <v>252000</v>
      </c>
      <c r="I20" s="6">
        <v>382000</v>
      </c>
      <c r="J20" s="6">
        <v>392000</v>
      </c>
      <c r="K20" s="6">
        <v>1012000</v>
      </c>
      <c r="L20" s="6">
        <v>165000</v>
      </c>
    </row>
    <row r="21" spans="1:12" x14ac:dyDescent="0.3">
      <c r="A21" s="4" t="s">
        <v>30</v>
      </c>
      <c r="B21" s="5" t="s">
        <v>30</v>
      </c>
      <c r="C21" s="6">
        <v>301000</v>
      </c>
      <c r="D21" s="6">
        <v>281000</v>
      </c>
      <c r="E21" s="6">
        <v>326000</v>
      </c>
      <c r="F21" s="6">
        <v>291000</v>
      </c>
      <c r="G21" s="6">
        <v>331000</v>
      </c>
      <c r="H21" s="6">
        <v>241000</v>
      </c>
      <c r="I21" s="6">
        <v>371000</v>
      </c>
      <c r="J21" s="6">
        <v>381000</v>
      </c>
      <c r="K21" s="6">
        <v>1001000</v>
      </c>
      <c r="L21" s="6">
        <v>155500</v>
      </c>
    </row>
    <row r="22" spans="1:12" x14ac:dyDescent="0.3">
      <c r="A22" s="7"/>
      <c r="B22" s="5" t="s">
        <v>31</v>
      </c>
      <c r="C22" s="6">
        <v>305000</v>
      </c>
      <c r="D22" s="6">
        <v>285000</v>
      </c>
      <c r="E22" s="6">
        <v>330000</v>
      </c>
      <c r="F22" s="6">
        <v>295000</v>
      </c>
      <c r="G22" s="6">
        <v>335000</v>
      </c>
      <c r="H22" s="6">
        <v>245000</v>
      </c>
      <c r="I22" s="6">
        <v>375000</v>
      </c>
      <c r="J22" s="6">
        <v>385000</v>
      </c>
      <c r="K22" s="6">
        <v>1005000</v>
      </c>
      <c r="L22" s="6">
        <v>159500</v>
      </c>
    </row>
    <row r="23" spans="1:12" x14ac:dyDescent="0.3">
      <c r="A23" s="7"/>
      <c r="B23" s="5" t="s">
        <v>32</v>
      </c>
      <c r="C23" s="6">
        <v>310000</v>
      </c>
      <c r="D23" s="6">
        <v>290000</v>
      </c>
      <c r="E23" s="6">
        <v>335000</v>
      </c>
      <c r="F23" s="6">
        <v>300000</v>
      </c>
      <c r="G23" s="6">
        <v>340000</v>
      </c>
      <c r="H23" s="6">
        <v>250000</v>
      </c>
      <c r="I23" s="6">
        <v>380000</v>
      </c>
      <c r="J23" s="6">
        <v>390000</v>
      </c>
      <c r="K23" s="6">
        <v>1010000</v>
      </c>
      <c r="L23" s="6">
        <v>164500</v>
      </c>
    </row>
    <row r="24" spans="1:12" x14ac:dyDescent="0.3">
      <c r="A24" s="7"/>
      <c r="B24" s="5" t="s">
        <v>33</v>
      </c>
      <c r="C24" s="6">
        <v>308000</v>
      </c>
      <c r="D24" s="6">
        <v>288000</v>
      </c>
      <c r="E24" s="6">
        <v>333000</v>
      </c>
      <c r="F24" s="6">
        <v>298000</v>
      </c>
      <c r="G24" s="6">
        <v>338000</v>
      </c>
      <c r="H24" s="6">
        <v>248000</v>
      </c>
      <c r="I24" s="6">
        <v>378000</v>
      </c>
      <c r="J24" s="6">
        <v>388000</v>
      </c>
      <c r="K24" s="6">
        <v>1008000</v>
      </c>
      <c r="L24" s="6">
        <v>162500</v>
      </c>
    </row>
    <row r="25" spans="1:12" x14ac:dyDescent="0.3">
      <c r="A25" s="4" t="s">
        <v>34</v>
      </c>
      <c r="B25" s="5" t="s">
        <v>34</v>
      </c>
      <c r="C25" s="6">
        <v>314500</v>
      </c>
      <c r="D25" s="6">
        <v>294500</v>
      </c>
      <c r="E25" s="6">
        <v>339500</v>
      </c>
      <c r="F25" s="6">
        <v>284500</v>
      </c>
      <c r="G25" s="6">
        <v>344500</v>
      </c>
      <c r="H25" s="6">
        <v>254500</v>
      </c>
      <c r="I25" s="6">
        <v>384500</v>
      </c>
      <c r="J25" s="6">
        <v>394500</v>
      </c>
      <c r="K25" s="6">
        <v>1014500</v>
      </c>
      <c r="L25" s="6">
        <v>162500</v>
      </c>
    </row>
    <row r="26" spans="1:12" x14ac:dyDescent="0.3">
      <c r="A26" s="7"/>
      <c r="B26" s="5" t="s">
        <v>35</v>
      </c>
      <c r="C26" s="6">
        <v>318000</v>
      </c>
      <c r="D26" s="6">
        <v>298000</v>
      </c>
      <c r="E26" s="6">
        <v>343000</v>
      </c>
      <c r="F26" s="6">
        <v>288000</v>
      </c>
      <c r="G26" s="6">
        <v>348000</v>
      </c>
      <c r="H26" s="6">
        <v>258000</v>
      </c>
      <c r="I26" s="6">
        <v>388000</v>
      </c>
      <c r="J26" s="6">
        <v>398000</v>
      </c>
      <c r="K26" s="6">
        <v>1018000</v>
      </c>
      <c r="L26" s="6">
        <v>166000</v>
      </c>
    </row>
    <row r="27" spans="1:12" x14ac:dyDescent="0.3">
      <c r="A27" s="7"/>
      <c r="B27" s="5" t="s">
        <v>36</v>
      </c>
      <c r="C27" s="6">
        <v>316000</v>
      </c>
      <c r="D27" s="6">
        <v>296000</v>
      </c>
      <c r="E27" s="6">
        <v>341000</v>
      </c>
      <c r="F27" s="6">
        <v>286000</v>
      </c>
      <c r="G27" s="6">
        <v>346000</v>
      </c>
      <c r="H27" s="6">
        <v>256000</v>
      </c>
      <c r="I27" s="6">
        <v>386000</v>
      </c>
      <c r="J27" s="6">
        <v>396000</v>
      </c>
      <c r="K27" s="6">
        <v>1016000</v>
      </c>
      <c r="L27" s="6">
        <v>164000</v>
      </c>
    </row>
    <row r="28" spans="1:12" x14ac:dyDescent="0.3">
      <c r="A28" s="7"/>
      <c r="B28" s="5" t="s">
        <v>37</v>
      </c>
      <c r="C28" s="6">
        <v>320000</v>
      </c>
      <c r="D28" s="6">
        <v>300000</v>
      </c>
      <c r="E28" s="6">
        <v>345000</v>
      </c>
      <c r="F28" s="6">
        <v>290000</v>
      </c>
      <c r="G28" s="6">
        <v>350000</v>
      </c>
      <c r="H28" s="6">
        <v>260000</v>
      </c>
      <c r="I28" s="6">
        <v>390000</v>
      </c>
      <c r="J28" s="6">
        <v>400000</v>
      </c>
      <c r="K28" s="6">
        <v>1020000</v>
      </c>
      <c r="L28" s="6">
        <v>168000</v>
      </c>
    </row>
    <row r="29" spans="1:12" x14ac:dyDescent="0.3">
      <c r="A29" s="7"/>
      <c r="B29" s="5" t="s">
        <v>38</v>
      </c>
      <c r="C29" s="6">
        <v>317000</v>
      </c>
      <c r="D29" s="6">
        <v>297000</v>
      </c>
      <c r="E29" s="6">
        <v>342000</v>
      </c>
      <c r="F29" s="6">
        <v>287000</v>
      </c>
      <c r="G29" s="6">
        <v>347000</v>
      </c>
      <c r="H29" s="6">
        <v>257000</v>
      </c>
      <c r="I29" s="6">
        <v>387000</v>
      </c>
      <c r="J29" s="6">
        <v>397000</v>
      </c>
      <c r="K29" s="6">
        <v>1017000</v>
      </c>
      <c r="L29" s="6">
        <v>165000</v>
      </c>
    </row>
    <row r="30" spans="1:12" x14ac:dyDescent="0.3">
      <c r="A30" s="7"/>
      <c r="B30" s="5" t="s">
        <v>39</v>
      </c>
      <c r="C30" s="6">
        <v>322000</v>
      </c>
      <c r="D30" s="6">
        <v>302000</v>
      </c>
      <c r="E30" s="6">
        <v>347000</v>
      </c>
      <c r="F30" s="6">
        <v>292000</v>
      </c>
      <c r="G30" s="6">
        <v>352000</v>
      </c>
      <c r="H30" s="6">
        <v>262000</v>
      </c>
      <c r="I30" s="6">
        <v>392000</v>
      </c>
      <c r="J30" s="6">
        <v>402000</v>
      </c>
      <c r="K30" s="6">
        <v>1022000</v>
      </c>
      <c r="L30" s="6">
        <v>170000</v>
      </c>
    </row>
    <row r="31" spans="1:12" x14ac:dyDescent="0.3">
      <c r="A31" s="4" t="s">
        <v>40</v>
      </c>
      <c r="B31" s="5" t="s">
        <v>40</v>
      </c>
      <c r="C31" s="6">
        <v>296000</v>
      </c>
      <c r="D31" s="6">
        <v>276000</v>
      </c>
      <c r="E31" s="6">
        <v>321000</v>
      </c>
      <c r="F31" s="6">
        <v>286000</v>
      </c>
      <c r="G31" s="6">
        <v>331000</v>
      </c>
      <c r="H31" s="6">
        <v>241000</v>
      </c>
      <c r="I31" s="6">
        <v>366000</v>
      </c>
      <c r="J31" s="6">
        <v>376000</v>
      </c>
      <c r="K31" s="6">
        <v>996000</v>
      </c>
      <c r="L31" s="6">
        <v>153000</v>
      </c>
    </row>
    <row r="32" spans="1:12" x14ac:dyDescent="0.3">
      <c r="A32" s="7"/>
      <c r="B32" s="5" t="s">
        <v>41</v>
      </c>
      <c r="C32" s="6">
        <v>299000</v>
      </c>
      <c r="D32" s="6">
        <v>279000</v>
      </c>
      <c r="E32" s="6">
        <v>324000</v>
      </c>
      <c r="F32" s="6">
        <v>289000</v>
      </c>
      <c r="G32" s="6">
        <v>334000</v>
      </c>
      <c r="H32" s="6">
        <v>244000</v>
      </c>
      <c r="I32" s="6">
        <v>369000</v>
      </c>
      <c r="J32" s="6">
        <v>379000</v>
      </c>
      <c r="K32" s="6">
        <v>999000</v>
      </c>
      <c r="L32" s="6">
        <v>156000</v>
      </c>
    </row>
    <row r="33" spans="1:12" x14ac:dyDescent="0.3">
      <c r="A33" s="7"/>
      <c r="B33" s="5" t="s">
        <v>42</v>
      </c>
      <c r="C33" s="6">
        <v>302000</v>
      </c>
      <c r="D33" s="6">
        <v>282000</v>
      </c>
      <c r="E33" s="6">
        <v>327000</v>
      </c>
      <c r="F33" s="6">
        <v>292000</v>
      </c>
      <c r="G33" s="6">
        <v>337000</v>
      </c>
      <c r="H33" s="6">
        <v>247000</v>
      </c>
      <c r="I33" s="6">
        <v>372000</v>
      </c>
      <c r="J33" s="6">
        <v>382000</v>
      </c>
      <c r="K33" s="6">
        <v>1002000</v>
      </c>
      <c r="L33" s="6">
        <v>159000</v>
      </c>
    </row>
    <row r="34" spans="1:12" x14ac:dyDescent="0.3">
      <c r="A34" s="4" t="s">
        <v>43</v>
      </c>
      <c r="B34" s="5" t="s">
        <v>43</v>
      </c>
      <c r="C34" s="6">
        <v>306000</v>
      </c>
      <c r="D34" s="6">
        <v>286000</v>
      </c>
      <c r="E34" s="6">
        <v>331000</v>
      </c>
      <c r="F34" s="6">
        <v>296000</v>
      </c>
      <c r="G34" s="6">
        <v>336000</v>
      </c>
      <c r="H34" s="6">
        <v>246000</v>
      </c>
      <c r="I34" s="6">
        <v>376000</v>
      </c>
      <c r="J34" s="6">
        <v>396000</v>
      </c>
      <c r="K34" s="6">
        <v>1006000</v>
      </c>
      <c r="L34" s="6">
        <v>158000</v>
      </c>
    </row>
    <row r="35" spans="1:12" x14ac:dyDescent="0.3">
      <c r="A35" s="7"/>
      <c r="B35" s="5" t="s">
        <v>44</v>
      </c>
      <c r="C35" s="6">
        <v>312000</v>
      </c>
      <c r="D35" s="6">
        <v>292000</v>
      </c>
      <c r="E35" s="6">
        <v>337000</v>
      </c>
      <c r="F35" s="6">
        <v>302000</v>
      </c>
      <c r="G35" s="6">
        <v>342000</v>
      </c>
      <c r="H35" s="6">
        <v>252000</v>
      </c>
      <c r="I35" s="6">
        <v>382000</v>
      </c>
      <c r="J35" s="6">
        <v>402000</v>
      </c>
      <c r="K35" s="6">
        <v>1012000</v>
      </c>
      <c r="L35" s="6">
        <v>164000</v>
      </c>
    </row>
    <row r="36" spans="1:12" x14ac:dyDescent="0.3">
      <c r="A36" s="7"/>
      <c r="B36" s="5" t="s">
        <v>45</v>
      </c>
      <c r="C36" s="6">
        <v>315000</v>
      </c>
      <c r="D36" s="6">
        <v>295000</v>
      </c>
      <c r="E36" s="6">
        <v>340000</v>
      </c>
      <c r="F36" s="6">
        <v>305000</v>
      </c>
      <c r="G36" s="6">
        <v>345000</v>
      </c>
      <c r="H36" s="6">
        <v>255000</v>
      </c>
      <c r="I36" s="6">
        <v>385000</v>
      </c>
      <c r="J36" s="6">
        <v>405000</v>
      </c>
      <c r="K36" s="6">
        <v>1015000</v>
      </c>
      <c r="L36" s="6">
        <v>167000</v>
      </c>
    </row>
    <row r="37" spans="1:12" x14ac:dyDescent="0.3">
      <c r="A37" s="7"/>
      <c r="B37" s="5" t="s">
        <v>46</v>
      </c>
      <c r="C37" s="6">
        <v>310000</v>
      </c>
      <c r="D37" s="6">
        <v>290000</v>
      </c>
      <c r="E37" s="6">
        <v>335000</v>
      </c>
      <c r="F37" s="6">
        <v>300000</v>
      </c>
      <c r="G37" s="6">
        <v>340000</v>
      </c>
      <c r="H37" s="6">
        <v>250000</v>
      </c>
      <c r="I37" s="6">
        <v>380000</v>
      </c>
      <c r="J37" s="6">
        <v>400000</v>
      </c>
      <c r="K37" s="6">
        <v>1010000</v>
      </c>
      <c r="L37" s="6">
        <v>162000</v>
      </c>
    </row>
    <row r="38" spans="1:12" x14ac:dyDescent="0.3">
      <c r="A38" s="7"/>
      <c r="B38" s="5" t="s">
        <v>47</v>
      </c>
      <c r="C38" s="6">
        <v>318000</v>
      </c>
      <c r="D38" s="6">
        <v>298000</v>
      </c>
      <c r="E38" s="6">
        <v>343000</v>
      </c>
      <c r="F38" s="6">
        <v>308000</v>
      </c>
      <c r="G38" s="6">
        <v>348000</v>
      </c>
      <c r="H38" s="6">
        <v>258000</v>
      </c>
      <c r="I38" s="6">
        <v>388000</v>
      </c>
      <c r="J38" s="6">
        <v>408000</v>
      </c>
      <c r="K38" s="6">
        <v>1018000</v>
      </c>
      <c r="L38" s="6">
        <v>170000</v>
      </c>
    </row>
  </sheetData>
  <mergeCells count="1">
    <mergeCell ref="A1:L1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baseColWidth="10" defaultColWidth="8.88671875" defaultRowHeight="14.4" x14ac:dyDescent="0.3"/>
  <cols>
    <col min="1" max="1" width="5" customWidth="1"/>
    <col min="2" max="2" width="35" customWidth="1"/>
    <col min="3" max="3" width="10" customWidth="1"/>
    <col min="4" max="4" width="100" customWidth="1"/>
  </cols>
  <sheetData>
    <row r="1" spans="1:4" ht="17.399999999999999" x14ac:dyDescent="0.3">
      <c r="A1" s="1" t="s">
        <v>48</v>
      </c>
    </row>
    <row r="3" spans="1:4" x14ac:dyDescent="0.3">
      <c r="A3" s="8" t="s">
        <v>49</v>
      </c>
      <c r="B3" s="8" t="s">
        <v>50</v>
      </c>
      <c r="C3" s="8" t="s">
        <v>51</v>
      </c>
      <c r="D3" s="8" t="s">
        <v>52</v>
      </c>
    </row>
    <row r="4" spans="1:4" x14ac:dyDescent="0.3">
      <c r="A4" s="7">
        <v>1</v>
      </c>
      <c r="B4" s="7" t="s">
        <v>53</v>
      </c>
      <c r="C4" s="7" t="s">
        <v>54</v>
      </c>
      <c r="D4" s="9" t="s">
        <v>55</v>
      </c>
    </row>
    <row r="5" spans="1:4" x14ac:dyDescent="0.3">
      <c r="A5" s="7">
        <v>2</v>
      </c>
      <c r="B5" s="7" t="s">
        <v>56</v>
      </c>
      <c r="C5" s="7" t="s">
        <v>54</v>
      </c>
      <c r="D5" s="9" t="s">
        <v>57</v>
      </c>
    </row>
    <row r="6" spans="1:4" x14ac:dyDescent="0.3">
      <c r="A6" s="7">
        <v>3</v>
      </c>
      <c r="B6" s="7" t="s">
        <v>58</v>
      </c>
      <c r="C6" s="7" t="s">
        <v>59</v>
      </c>
      <c r="D6" s="9" t="s">
        <v>60</v>
      </c>
    </row>
    <row r="7" spans="1:4" x14ac:dyDescent="0.3">
      <c r="A7" s="7">
        <v>4</v>
      </c>
      <c r="B7" s="7" t="s">
        <v>61</v>
      </c>
      <c r="C7" s="7" t="s">
        <v>62</v>
      </c>
      <c r="D7" s="9" t="s">
        <v>63</v>
      </c>
    </row>
    <row r="8" spans="1:4" x14ac:dyDescent="0.3">
      <c r="A8" s="7">
        <v>5</v>
      </c>
      <c r="B8" s="7" t="s">
        <v>64</v>
      </c>
      <c r="C8" s="7" t="s">
        <v>65</v>
      </c>
      <c r="D8" s="9" t="s">
        <v>66</v>
      </c>
    </row>
    <row r="9" spans="1:4" x14ac:dyDescent="0.3">
      <c r="A9" s="7">
        <v>6</v>
      </c>
      <c r="B9" s="7" t="s">
        <v>67</v>
      </c>
      <c r="C9" s="7" t="s">
        <v>65</v>
      </c>
      <c r="D9" s="9" t="s">
        <v>68</v>
      </c>
    </row>
    <row r="10" spans="1:4" x14ac:dyDescent="0.3">
      <c r="A10" s="7">
        <v>7</v>
      </c>
      <c r="B10" s="7" t="s">
        <v>69</v>
      </c>
      <c r="C10" s="7" t="s">
        <v>54</v>
      </c>
      <c r="D10" s="9" t="s">
        <v>70</v>
      </c>
    </row>
    <row r="11" spans="1:4" x14ac:dyDescent="0.3">
      <c r="A11" s="7">
        <v>8</v>
      </c>
      <c r="B11" s="7" t="s">
        <v>71</v>
      </c>
      <c r="C11" s="7" t="s">
        <v>54</v>
      </c>
      <c r="D11" s="9" t="s">
        <v>72</v>
      </c>
    </row>
    <row r="12" spans="1:4" x14ac:dyDescent="0.3">
      <c r="A12" s="7">
        <v>9</v>
      </c>
      <c r="B12" s="7" t="s">
        <v>73</v>
      </c>
      <c r="C12" s="7" t="s">
        <v>62</v>
      </c>
      <c r="D12" s="9" t="s">
        <v>74</v>
      </c>
    </row>
    <row r="13" spans="1:4" x14ac:dyDescent="0.3">
      <c r="A13" s="7">
        <v>10</v>
      </c>
      <c r="B13" s="7" t="s">
        <v>75</v>
      </c>
      <c r="C13" s="7" t="s">
        <v>62</v>
      </c>
      <c r="D13" s="9" t="s">
        <v>76</v>
      </c>
    </row>
  </sheetData>
  <hyperlinks>
    <hyperlink ref="D4" r:id="rId1" xr:uid="{00000000-0004-0000-0100-000000000000}"/>
    <hyperlink ref="D5" r:id="rId2" xr:uid="{00000000-0004-0000-0100-000001000000}"/>
    <hyperlink ref="D6" r:id="rId3" xr:uid="{00000000-0004-0000-0100-000002000000}"/>
    <hyperlink ref="D7" r:id="rId4" xr:uid="{00000000-0004-0000-0100-000003000000}"/>
    <hyperlink ref="D8" r:id="rId5" xr:uid="{00000000-0004-0000-0100-000004000000}"/>
    <hyperlink ref="D9" r:id="rId6" xr:uid="{00000000-0004-0000-0100-000005000000}"/>
    <hyperlink ref="D10" r:id="rId7" xr:uid="{00000000-0004-0000-0100-000006000000}"/>
    <hyperlink ref="D11" r:id="rId8" xr:uid="{00000000-0004-0000-0100-000007000000}"/>
    <hyperlink ref="D12" r:id="rId9" xr:uid="{00000000-0004-0000-0100-000008000000}"/>
    <hyperlink ref="D13" r:id="rId10" xr:uid="{00000000-0004-0000-0100-000009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topLeftCell="A5" workbookViewId="0">
      <selection activeCell="A3" sqref="A3:C37"/>
    </sheetView>
  </sheetViews>
  <sheetFormatPr baseColWidth="10" defaultColWidth="8.88671875" defaultRowHeight="14.4" x14ac:dyDescent="0.3"/>
  <cols>
    <col min="1" max="1" width="12" customWidth="1"/>
    <col min="2" max="2" width="15" customWidth="1"/>
    <col min="3" max="3" width="100" customWidth="1"/>
  </cols>
  <sheetData>
    <row r="1" spans="1:3" ht="17.399999999999999" x14ac:dyDescent="0.3">
      <c r="A1" s="1" t="s">
        <v>77</v>
      </c>
    </row>
    <row r="3" spans="1:3" x14ac:dyDescent="0.3">
      <c r="A3" s="8" t="s">
        <v>2</v>
      </c>
      <c r="B3" s="8" t="s">
        <v>3</v>
      </c>
      <c r="C3" s="8" t="s">
        <v>78</v>
      </c>
    </row>
    <row r="4" spans="1:3" x14ac:dyDescent="0.3">
      <c r="A4" s="7" t="s">
        <v>14</v>
      </c>
      <c r="B4" s="7" t="s">
        <v>14</v>
      </c>
      <c r="C4" s="9" t="s">
        <v>79</v>
      </c>
    </row>
    <row r="5" spans="1:3" x14ac:dyDescent="0.3">
      <c r="A5" s="7" t="s">
        <v>15</v>
      </c>
      <c r="B5" s="7" t="s">
        <v>15</v>
      </c>
      <c r="C5" s="9" t="s">
        <v>80</v>
      </c>
    </row>
    <row r="6" spans="1:3" x14ac:dyDescent="0.3">
      <c r="A6" s="7" t="s">
        <v>15</v>
      </c>
      <c r="B6" s="7" t="s">
        <v>16</v>
      </c>
      <c r="C6" s="9" t="s">
        <v>81</v>
      </c>
    </row>
    <row r="7" spans="1:3" x14ac:dyDescent="0.3">
      <c r="A7" s="7" t="s">
        <v>15</v>
      </c>
      <c r="B7" s="7" t="s">
        <v>17</v>
      </c>
      <c r="C7" s="9" t="s">
        <v>82</v>
      </c>
    </row>
    <row r="8" spans="1:3" x14ac:dyDescent="0.3">
      <c r="A8" s="7" t="s">
        <v>15</v>
      </c>
      <c r="B8" s="7" t="s">
        <v>18</v>
      </c>
      <c r="C8" s="9" t="s">
        <v>83</v>
      </c>
    </row>
    <row r="9" spans="1:3" x14ac:dyDescent="0.3">
      <c r="A9" s="7" t="s">
        <v>15</v>
      </c>
      <c r="B9" s="7" t="s">
        <v>19</v>
      </c>
      <c r="C9" s="9" t="s">
        <v>84</v>
      </c>
    </row>
    <row r="10" spans="1:3" x14ac:dyDescent="0.3">
      <c r="A10" s="7" t="s">
        <v>20</v>
      </c>
      <c r="B10" s="7" t="s">
        <v>20</v>
      </c>
      <c r="C10" s="9" t="s">
        <v>85</v>
      </c>
    </row>
    <row r="11" spans="1:3" x14ac:dyDescent="0.3">
      <c r="A11" s="7" t="s">
        <v>20</v>
      </c>
      <c r="B11" s="7" t="s">
        <v>21</v>
      </c>
      <c r="C11" s="9" t="s">
        <v>86</v>
      </c>
    </row>
    <row r="12" spans="1:3" x14ac:dyDescent="0.3">
      <c r="A12" s="7" t="s">
        <v>20</v>
      </c>
      <c r="B12" s="7" t="s">
        <v>22</v>
      </c>
      <c r="C12" s="9" t="s">
        <v>87</v>
      </c>
    </row>
    <row r="13" spans="1:3" x14ac:dyDescent="0.3">
      <c r="A13" s="7" t="s">
        <v>20</v>
      </c>
      <c r="B13" s="7" t="s">
        <v>23</v>
      </c>
      <c r="C13" s="9" t="s">
        <v>88</v>
      </c>
    </row>
    <row r="14" spans="1:3" x14ac:dyDescent="0.3">
      <c r="A14" s="7" t="s">
        <v>20</v>
      </c>
      <c r="B14" s="7" t="s">
        <v>24</v>
      </c>
      <c r="C14" s="9" t="s">
        <v>89</v>
      </c>
    </row>
    <row r="15" spans="1:3" x14ac:dyDescent="0.3">
      <c r="A15" s="7" t="s">
        <v>25</v>
      </c>
      <c r="B15" s="7" t="s">
        <v>25</v>
      </c>
      <c r="C15" s="9" t="s">
        <v>90</v>
      </c>
    </row>
    <row r="16" spans="1:3" x14ac:dyDescent="0.3">
      <c r="A16" s="7" t="s">
        <v>25</v>
      </c>
      <c r="B16" s="7" t="s">
        <v>26</v>
      </c>
      <c r="C16" s="9" t="s">
        <v>91</v>
      </c>
    </row>
    <row r="17" spans="1:3" x14ac:dyDescent="0.3">
      <c r="A17" s="7" t="s">
        <v>25</v>
      </c>
      <c r="B17" s="7" t="s">
        <v>27</v>
      </c>
      <c r="C17" s="9" t="s">
        <v>92</v>
      </c>
    </row>
    <row r="18" spans="1:3" x14ac:dyDescent="0.3">
      <c r="A18" s="7" t="s">
        <v>25</v>
      </c>
      <c r="B18" s="7" t="s">
        <v>28</v>
      </c>
      <c r="C18" s="9" t="s">
        <v>93</v>
      </c>
    </row>
    <row r="19" spans="1:3" x14ac:dyDescent="0.3">
      <c r="A19" s="7" t="s">
        <v>25</v>
      </c>
      <c r="B19" s="7" t="s">
        <v>29</v>
      </c>
      <c r="C19" s="9" t="s">
        <v>94</v>
      </c>
    </row>
    <row r="20" spans="1:3" x14ac:dyDescent="0.3">
      <c r="A20" s="7" t="s">
        <v>30</v>
      </c>
      <c r="B20" s="7" t="s">
        <v>30</v>
      </c>
      <c r="C20" s="9" t="s">
        <v>95</v>
      </c>
    </row>
    <row r="21" spans="1:3" x14ac:dyDescent="0.3">
      <c r="A21" s="7" t="s">
        <v>30</v>
      </c>
      <c r="B21" s="7" t="s">
        <v>31</v>
      </c>
      <c r="C21" s="9" t="s">
        <v>96</v>
      </c>
    </row>
    <row r="22" spans="1:3" x14ac:dyDescent="0.3">
      <c r="A22" s="7" t="s">
        <v>30</v>
      </c>
      <c r="B22" s="7" t="s">
        <v>32</v>
      </c>
      <c r="C22" s="9" t="s">
        <v>97</v>
      </c>
    </row>
    <row r="23" spans="1:3" x14ac:dyDescent="0.3">
      <c r="A23" s="7" t="s">
        <v>30</v>
      </c>
      <c r="B23" s="7" t="s">
        <v>33</v>
      </c>
      <c r="C23" s="9" t="s">
        <v>98</v>
      </c>
    </row>
    <row r="24" spans="1:3" x14ac:dyDescent="0.3">
      <c r="A24" s="7" t="s">
        <v>34</v>
      </c>
      <c r="B24" s="7" t="s">
        <v>34</v>
      </c>
      <c r="C24" s="9" t="s">
        <v>99</v>
      </c>
    </row>
    <row r="25" spans="1:3" x14ac:dyDescent="0.3">
      <c r="A25" s="7" t="s">
        <v>34</v>
      </c>
      <c r="B25" s="7" t="s">
        <v>35</v>
      </c>
      <c r="C25" s="9" t="s">
        <v>100</v>
      </c>
    </row>
    <row r="26" spans="1:3" x14ac:dyDescent="0.3">
      <c r="A26" s="7" t="s">
        <v>34</v>
      </c>
      <c r="B26" s="7" t="s">
        <v>36</v>
      </c>
      <c r="C26" s="9" t="s">
        <v>101</v>
      </c>
    </row>
    <row r="27" spans="1:3" x14ac:dyDescent="0.3">
      <c r="A27" s="7" t="s">
        <v>34</v>
      </c>
      <c r="B27" s="7" t="s">
        <v>37</v>
      </c>
      <c r="C27" s="9" t="s">
        <v>102</v>
      </c>
    </row>
    <row r="28" spans="1:3" x14ac:dyDescent="0.3">
      <c r="A28" s="7" t="s">
        <v>34</v>
      </c>
      <c r="B28" s="7" t="s">
        <v>38</v>
      </c>
      <c r="C28" s="9" t="s">
        <v>103</v>
      </c>
    </row>
    <row r="29" spans="1:3" x14ac:dyDescent="0.3">
      <c r="A29" s="7" t="s">
        <v>34</v>
      </c>
      <c r="B29" s="7" t="s">
        <v>39</v>
      </c>
      <c r="C29" s="9" t="s">
        <v>104</v>
      </c>
    </row>
    <row r="30" spans="1:3" x14ac:dyDescent="0.3">
      <c r="A30" s="7" t="s">
        <v>40</v>
      </c>
      <c r="B30" s="7" t="s">
        <v>40</v>
      </c>
      <c r="C30" s="9" t="s">
        <v>105</v>
      </c>
    </row>
    <row r="31" spans="1:3" x14ac:dyDescent="0.3">
      <c r="A31" s="7" t="s">
        <v>40</v>
      </c>
      <c r="B31" s="7" t="s">
        <v>41</v>
      </c>
      <c r="C31" s="9" t="s">
        <v>106</v>
      </c>
    </row>
    <row r="32" spans="1:3" x14ac:dyDescent="0.3">
      <c r="A32" s="7" t="s">
        <v>40</v>
      </c>
      <c r="B32" s="7" t="s">
        <v>42</v>
      </c>
      <c r="C32" s="9" t="s">
        <v>107</v>
      </c>
    </row>
    <row r="33" spans="1:3" x14ac:dyDescent="0.3">
      <c r="A33" s="7" t="s">
        <v>43</v>
      </c>
      <c r="B33" s="7" t="s">
        <v>43</v>
      </c>
      <c r="C33" s="9" t="s">
        <v>108</v>
      </c>
    </row>
    <row r="34" spans="1:3" x14ac:dyDescent="0.3">
      <c r="A34" s="7" t="s">
        <v>43</v>
      </c>
      <c r="B34" s="7" t="s">
        <v>44</v>
      </c>
      <c r="C34" s="9" t="s">
        <v>109</v>
      </c>
    </row>
    <row r="35" spans="1:3" x14ac:dyDescent="0.3">
      <c r="A35" s="7" t="s">
        <v>43</v>
      </c>
      <c r="B35" s="7" t="s">
        <v>45</v>
      </c>
      <c r="C35" s="9" t="s">
        <v>110</v>
      </c>
    </row>
    <row r="36" spans="1:3" x14ac:dyDescent="0.3">
      <c r="A36" s="7" t="s">
        <v>43</v>
      </c>
      <c r="B36" s="7" t="s">
        <v>46</v>
      </c>
      <c r="C36" s="9" t="s">
        <v>111</v>
      </c>
    </row>
    <row r="37" spans="1:3" x14ac:dyDescent="0.3">
      <c r="A37" s="7" t="s">
        <v>43</v>
      </c>
      <c r="B37" s="7" t="s">
        <v>47</v>
      </c>
      <c r="C37" s="9" t="s">
        <v>112</v>
      </c>
    </row>
  </sheetData>
  <hyperlinks>
    <hyperlink ref="C4" r:id="rId1" xr:uid="{00000000-0004-0000-0200-000000000000}"/>
    <hyperlink ref="C5" r:id="rId2" xr:uid="{00000000-0004-0000-0200-000001000000}"/>
    <hyperlink ref="C6" r:id="rId3" xr:uid="{00000000-0004-0000-0200-000002000000}"/>
    <hyperlink ref="C7" r:id="rId4" xr:uid="{00000000-0004-0000-0200-000003000000}"/>
    <hyperlink ref="C8" r:id="rId5" xr:uid="{00000000-0004-0000-0200-000004000000}"/>
    <hyperlink ref="C9" r:id="rId6" xr:uid="{00000000-0004-0000-0200-000005000000}"/>
    <hyperlink ref="C10" r:id="rId7" xr:uid="{00000000-0004-0000-0200-000006000000}"/>
    <hyperlink ref="C11" r:id="rId8" xr:uid="{00000000-0004-0000-0200-000007000000}"/>
    <hyperlink ref="C12" r:id="rId9" xr:uid="{00000000-0004-0000-0200-000008000000}"/>
    <hyperlink ref="C13" r:id="rId10" xr:uid="{00000000-0004-0000-0200-000009000000}"/>
    <hyperlink ref="C14" r:id="rId11" xr:uid="{00000000-0004-0000-0200-00000A000000}"/>
    <hyperlink ref="C15" r:id="rId12" xr:uid="{00000000-0004-0000-0200-00000B000000}"/>
    <hyperlink ref="C16" r:id="rId13" xr:uid="{00000000-0004-0000-0200-00000C000000}"/>
    <hyperlink ref="C17" r:id="rId14" xr:uid="{00000000-0004-0000-0200-00000D000000}"/>
    <hyperlink ref="C18" r:id="rId15" xr:uid="{00000000-0004-0000-0200-00000E000000}"/>
    <hyperlink ref="C19" r:id="rId16" xr:uid="{00000000-0004-0000-0200-00000F000000}"/>
    <hyperlink ref="C20" r:id="rId17" xr:uid="{00000000-0004-0000-0200-000010000000}"/>
    <hyperlink ref="C21" r:id="rId18" xr:uid="{00000000-0004-0000-0200-000011000000}"/>
    <hyperlink ref="C22" r:id="rId19" xr:uid="{00000000-0004-0000-0200-000012000000}"/>
    <hyperlink ref="C23" r:id="rId20" xr:uid="{00000000-0004-0000-0200-000013000000}"/>
    <hyperlink ref="C24" r:id="rId21" xr:uid="{00000000-0004-0000-0200-000014000000}"/>
    <hyperlink ref="C25" r:id="rId22" xr:uid="{00000000-0004-0000-0200-000015000000}"/>
    <hyperlink ref="C26" r:id="rId23" xr:uid="{00000000-0004-0000-0200-000016000000}"/>
    <hyperlink ref="C27" r:id="rId24" xr:uid="{00000000-0004-0000-0200-000017000000}"/>
    <hyperlink ref="C28" r:id="rId25" xr:uid="{00000000-0004-0000-0200-000018000000}"/>
    <hyperlink ref="C29" r:id="rId26" xr:uid="{00000000-0004-0000-0200-000019000000}"/>
    <hyperlink ref="C30" r:id="rId27" xr:uid="{00000000-0004-0000-0200-00001A000000}"/>
    <hyperlink ref="C31" r:id="rId28" xr:uid="{00000000-0004-0000-0200-00001B000000}"/>
    <hyperlink ref="C32" r:id="rId29" xr:uid="{00000000-0004-0000-0200-00001C000000}"/>
    <hyperlink ref="C33" r:id="rId30" xr:uid="{00000000-0004-0000-0200-00001D000000}"/>
    <hyperlink ref="C34" r:id="rId31" xr:uid="{00000000-0004-0000-0200-00001E000000}"/>
    <hyperlink ref="C35" r:id="rId32" xr:uid="{00000000-0004-0000-0200-00001F000000}"/>
    <hyperlink ref="C36" r:id="rId33" xr:uid="{00000000-0004-0000-0200-000020000000}"/>
    <hyperlink ref="C37" r:id="rId34" xr:uid="{00000000-0004-0000-0200-000021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26B51-3B43-41B6-98BA-750BF64C5A84}">
  <dimension ref="A1:L12"/>
  <sheetViews>
    <sheetView tabSelected="1" workbookViewId="0">
      <selection activeCell="D24" sqref="D24"/>
    </sheetView>
  </sheetViews>
  <sheetFormatPr baseColWidth="10" defaultRowHeight="14.4" x14ac:dyDescent="0.3"/>
  <cols>
    <col min="1" max="1" width="20.33203125" customWidth="1"/>
    <col min="2" max="2" width="12" customWidth="1"/>
    <col min="3" max="12" width="19.44140625" customWidth="1"/>
  </cols>
  <sheetData>
    <row r="1" spans="1:12" ht="18" x14ac:dyDescent="0.35">
      <c r="A1" s="12" t="s">
        <v>113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x14ac:dyDescent="0.3">
      <c r="A2" s="13" t="s">
        <v>114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15" thickBot="1" x14ac:dyDescent="0.35"/>
    <row r="4" spans="1:12" ht="22.05" customHeight="1" thickBot="1" x14ac:dyDescent="0.35">
      <c r="A4" s="30" t="s">
        <v>2</v>
      </c>
      <c r="B4" s="31" t="s">
        <v>115</v>
      </c>
      <c r="C4" s="31" t="s">
        <v>4</v>
      </c>
      <c r="D4" s="31" t="s">
        <v>5</v>
      </c>
      <c r="E4" s="31" t="s">
        <v>6</v>
      </c>
      <c r="F4" s="31" t="s">
        <v>7</v>
      </c>
      <c r="G4" s="31" t="s">
        <v>8</v>
      </c>
      <c r="H4" s="31" t="s">
        <v>9</v>
      </c>
      <c r="I4" s="31" t="s">
        <v>10</v>
      </c>
      <c r="J4" s="31" t="s">
        <v>11</v>
      </c>
      <c r="K4" s="31" t="s">
        <v>12</v>
      </c>
      <c r="L4" s="32" t="s">
        <v>13</v>
      </c>
    </row>
    <row r="5" spans="1:12" ht="22.05" customHeight="1" x14ac:dyDescent="0.3">
      <c r="A5" s="26" t="s">
        <v>14</v>
      </c>
      <c r="B5" s="27">
        <v>1</v>
      </c>
      <c r="C5" s="28">
        <f>'Prix par Préfecture'!C5</f>
        <v>280000</v>
      </c>
      <c r="D5" s="28">
        <f>'Prix par Préfecture'!D5</f>
        <v>260000</v>
      </c>
      <c r="E5" s="28">
        <f>'Prix par Préfecture'!E5</f>
        <v>305000</v>
      </c>
      <c r="F5" s="28">
        <f>'Prix par Préfecture'!F5</f>
        <v>270000</v>
      </c>
      <c r="G5" s="28">
        <f>'Prix par Préfecture'!G5</f>
        <v>310000</v>
      </c>
      <c r="H5" s="28">
        <f>'Prix par Préfecture'!H5</f>
        <v>220000</v>
      </c>
      <c r="I5" s="28">
        <f>'Prix par Préfecture'!I5</f>
        <v>350000</v>
      </c>
      <c r="J5" s="28">
        <f>'Prix par Préfecture'!J5</f>
        <v>360000</v>
      </c>
      <c r="K5" s="28">
        <f>'Prix par Préfecture'!K5</f>
        <v>980000</v>
      </c>
      <c r="L5" s="29">
        <f>'Prix par Préfecture'!L5</f>
        <v>140000</v>
      </c>
    </row>
    <row r="6" spans="1:12" ht="22.05" customHeight="1" x14ac:dyDescent="0.3">
      <c r="A6" s="21" t="s">
        <v>15</v>
      </c>
      <c r="B6" s="16">
        <v>5</v>
      </c>
      <c r="C6" s="17">
        <f>AVERAGE('Prix par Préfecture'!C6:C10)</f>
        <v>301700</v>
      </c>
      <c r="D6" s="17">
        <f>AVERAGE('Prix par Préfecture'!D6:D10)</f>
        <v>281700</v>
      </c>
      <c r="E6" s="17">
        <f>AVERAGE('Prix par Préfecture'!E6:E10)</f>
        <v>326700</v>
      </c>
      <c r="F6" s="17">
        <f>AVERAGE('Prix par Préfecture'!F6:F10)</f>
        <v>291700</v>
      </c>
      <c r="G6" s="17">
        <f>AVERAGE('Prix par Préfecture'!G6:G10)</f>
        <v>336700</v>
      </c>
      <c r="H6" s="17">
        <f>AVERAGE('Prix par Préfecture'!H6:H10)</f>
        <v>246700</v>
      </c>
      <c r="I6" s="17">
        <f>AVERAGE('Prix par Préfecture'!I6:I10)</f>
        <v>376700</v>
      </c>
      <c r="J6" s="17">
        <f>AVERAGE('Prix par Préfecture'!J6:J10)</f>
        <v>381700</v>
      </c>
      <c r="K6" s="17">
        <f>AVERAGE('Prix par Préfecture'!K6:K10)</f>
        <v>1001700</v>
      </c>
      <c r="L6" s="24">
        <f>AVERAGE('Prix par Préfecture'!L6:L10)</f>
        <v>156700</v>
      </c>
    </row>
    <row r="7" spans="1:12" ht="22.05" customHeight="1" x14ac:dyDescent="0.3">
      <c r="A7" s="20" t="s">
        <v>20</v>
      </c>
      <c r="B7" s="14">
        <v>5</v>
      </c>
      <c r="C7" s="15">
        <f>AVERAGE('Prix par Préfecture'!C11:C15)</f>
        <v>290100</v>
      </c>
      <c r="D7" s="15">
        <f>AVERAGE('Prix par Préfecture'!D11:D15)</f>
        <v>270100</v>
      </c>
      <c r="E7" s="15">
        <f>AVERAGE('Prix par Préfecture'!E11:E15)</f>
        <v>315100</v>
      </c>
      <c r="F7" s="15">
        <f>AVERAGE('Prix par Préfecture'!F11:F15)</f>
        <v>280100</v>
      </c>
      <c r="G7" s="15">
        <f>AVERAGE('Prix par Préfecture'!G11:G15)</f>
        <v>320100</v>
      </c>
      <c r="H7" s="15">
        <f>AVERAGE('Prix par Préfecture'!H11:H15)</f>
        <v>230100</v>
      </c>
      <c r="I7" s="15">
        <f>AVERAGE('Prix par Préfecture'!I11:I15)</f>
        <v>365100</v>
      </c>
      <c r="J7" s="15">
        <f>AVERAGE('Prix par Préfecture'!J11:J15)</f>
        <v>370100</v>
      </c>
      <c r="K7" s="15">
        <f>AVERAGE('Prix par Préfecture'!K11:K15)</f>
        <v>990100</v>
      </c>
      <c r="L7" s="23">
        <f>AVERAGE('Prix par Préfecture'!L11:L15)</f>
        <v>150200</v>
      </c>
    </row>
    <row r="8" spans="1:12" ht="22.05" customHeight="1" x14ac:dyDescent="0.3">
      <c r="A8" s="21" t="s">
        <v>25</v>
      </c>
      <c r="B8" s="16">
        <v>5</v>
      </c>
      <c r="C8" s="17">
        <f>AVERAGE('Prix par Préfecture'!C16:C20)</f>
        <v>310000</v>
      </c>
      <c r="D8" s="17">
        <f>AVERAGE('Prix par Préfecture'!D16:D20)</f>
        <v>290000</v>
      </c>
      <c r="E8" s="17">
        <f>AVERAGE('Prix par Préfecture'!E16:E20)</f>
        <v>335000</v>
      </c>
      <c r="F8" s="17">
        <f>AVERAGE('Prix par Préfecture'!F16:F20)</f>
        <v>300000</v>
      </c>
      <c r="G8" s="17">
        <f>AVERAGE('Prix par Préfecture'!G16:G20)</f>
        <v>340000</v>
      </c>
      <c r="H8" s="17">
        <f>AVERAGE('Prix par Préfecture'!H16:H20)</f>
        <v>250000</v>
      </c>
      <c r="I8" s="17">
        <f>AVERAGE('Prix par Préfecture'!I16:I20)</f>
        <v>380000</v>
      </c>
      <c r="J8" s="17">
        <f>AVERAGE('Prix par Préfecture'!J16:J20)</f>
        <v>390000</v>
      </c>
      <c r="K8" s="17">
        <f>AVERAGE('Prix par Préfecture'!K16:K20)</f>
        <v>1010000</v>
      </c>
      <c r="L8" s="24">
        <f>AVERAGE('Prix par Préfecture'!L16:L20)</f>
        <v>162600</v>
      </c>
    </row>
    <row r="9" spans="1:12" ht="22.05" customHeight="1" x14ac:dyDescent="0.3">
      <c r="A9" s="20" t="s">
        <v>30</v>
      </c>
      <c r="B9" s="14">
        <v>4</v>
      </c>
      <c r="C9" s="15">
        <f>AVERAGE('Prix par Préfecture'!C21:C24)</f>
        <v>306000</v>
      </c>
      <c r="D9" s="15">
        <f>AVERAGE('Prix par Préfecture'!D21:D24)</f>
        <v>286000</v>
      </c>
      <c r="E9" s="15">
        <f>AVERAGE('Prix par Préfecture'!E21:E24)</f>
        <v>331000</v>
      </c>
      <c r="F9" s="15">
        <f>AVERAGE('Prix par Préfecture'!F21:F24)</f>
        <v>296000</v>
      </c>
      <c r="G9" s="15">
        <f>AVERAGE('Prix par Préfecture'!G21:G24)</f>
        <v>336000</v>
      </c>
      <c r="H9" s="15">
        <f>AVERAGE('Prix par Préfecture'!H21:H24)</f>
        <v>246000</v>
      </c>
      <c r="I9" s="15">
        <f>AVERAGE('Prix par Préfecture'!I21:I24)</f>
        <v>376000</v>
      </c>
      <c r="J9" s="15">
        <f>AVERAGE('Prix par Préfecture'!J21:J24)</f>
        <v>386000</v>
      </c>
      <c r="K9" s="15">
        <f>AVERAGE('Prix par Préfecture'!K21:K24)</f>
        <v>1006000</v>
      </c>
      <c r="L9" s="23">
        <f>AVERAGE('Prix par Préfecture'!L21:L24)</f>
        <v>160500</v>
      </c>
    </row>
    <row r="10" spans="1:12" ht="22.05" customHeight="1" x14ac:dyDescent="0.3">
      <c r="A10" s="21" t="s">
        <v>34</v>
      </c>
      <c r="B10" s="16">
        <v>6</v>
      </c>
      <c r="C10" s="17">
        <f>AVERAGE('Prix par Préfecture'!C25:C30)</f>
        <v>317916.66666666669</v>
      </c>
      <c r="D10" s="17">
        <f>AVERAGE('Prix par Préfecture'!D25:D30)</f>
        <v>297916.66666666669</v>
      </c>
      <c r="E10" s="17">
        <f>AVERAGE('Prix par Préfecture'!E25:E30)</f>
        <v>342916.66666666669</v>
      </c>
      <c r="F10" s="17">
        <f>AVERAGE('Prix par Préfecture'!F25:F30)</f>
        <v>287916.66666666669</v>
      </c>
      <c r="G10" s="17">
        <f>AVERAGE('Prix par Préfecture'!G25:G30)</f>
        <v>347916.66666666669</v>
      </c>
      <c r="H10" s="17">
        <f>AVERAGE('Prix par Préfecture'!H25:H30)</f>
        <v>257916.66666666666</v>
      </c>
      <c r="I10" s="17">
        <f>AVERAGE('Prix par Préfecture'!I25:I30)</f>
        <v>387916.66666666669</v>
      </c>
      <c r="J10" s="17">
        <f>AVERAGE('Prix par Préfecture'!J25:J30)</f>
        <v>397916.66666666669</v>
      </c>
      <c r="K10" s="17">
        <f>AVERAGE('Prix par Préfecture'!K25:K30)</f>
        <v>1017916.6666666666</v>
      </c>
      <c r="L10" s="24">
        <f>AVERAGE('Prix par Préfecture'!L25:L30)</f>
        <v>165916.66666666666</v>
      </c>
    </row>
    <row r="11" spans="1:12" ht="22.05" customHeight="1" x14ac:dyDescent="0.3">
      <c r="A11" s="20" t="s">
        <v>40</v>
      </c>
      <c r="B11" s="14">
        <v>3</v>
      </c>
      <c r="C11" s="15">
        <f>AVERAGE('Prix par Préfecture'!C31:C33)</f>
        <v>299000</v>
      </c>
      <c r="D11" s="15">
        <f>AVERAGE('Prix par Préfecture'!D31:D33)</f>
        <v>279000</v>
      </c>
      <c r="E11" s="15">
        <f>AVERAGE('Prix par Préfecture'!E31:E33)</f>
        <v>324000</v>
      </c>
      <c r="F11" s="15">
        <f>AVERAGE('Prix par Préfecture'!F31:F33)</f>
        <v>289000</v>
      </c>
      <c r="G11" s="15">
        <f>AVERAGE('Prix par Préfecture'!G31:G33)</f>
        <v>334000</v>
      </c>
      <c r="H11" s="15">
        <f>AVERAGE('Prix par Préfecture'!H31:H33)</f>
        <v>244000</v>
      </c>
      <c r="I11" s="15">
        <f>AVERAGE('Prix par Préfecture'!I31:I33)</f>
        <v>369000</v>
      </c>
      <c r="J11" s="15">
        <f>AVERAGE('Prix par Préfecture'!J31:J33)</f>
        <v>379000</v>
      </c>
      <c r="K11" s="15">
        <f>AVERAGE('Prix par Préfecture'!K31:K33)</f>
        <v>999000</v>
      </c>
      <c r="L11" s="23">
        <f>AVERAGE('Prix par Préfecture'!L31:L33)</f>
        <v>156000</v>
      </c>
    </row>
    <row r="12" spans="1:12" ht="22.05" customHeight="1" thickBot="1" x14ac:dyDescent="0.35">
      <c r="A12" s="22" t="s">
        <v>43</v>
      </c>
      <c r="B12" s="18">
        <v>5</v>
      </c>
      <c r="C12" s="19">
        <f>AVERAGE('Prix par Préfecture'!C34:C38)</f>
        <v>312200</v>
      </c>
      <c r="D12" s="19">
        <f>AVERAGE('Prix par Préfecture'!D34:D38)</f>
        <v>292200</v>
      </c>
      <c r="E12" s="19">
        <f>AVERAGE('Prix par Préfecture'!E34:E38)</f>
        <v>337200</v>
      </c>
      <c r="F12" s="19">
        <f>AVERAGE('Prix par Préfecture'!F34:F38)</f>
        <v>302200</v>
      </c>
      <c r="G12" s="19">
        <f>AVERAGE('Prix par Préfecture'!G34:G38)</f>
        <v>342200</v>
      </c>
      <c r="H12" s="19">
        <f>AVERAGE('Prix par Préfecture'!H34:H38)</f>
        <v>252200</v>
      </c>
      <c r="I12" s="19">
        <f>AVERAGE('Prix par Préfecture'!I34:I38)</f>
        <v>382200</v>
      </c>
      <c r="J12" s="19">
        <f>AVERAGE('Prix par Préfecture'!J34:J38)</f>
        <v>402200</v>
      </c>
      <c r="K12" s="19">
        <f>AVERAGE('Prix par Préfecture'!K34:K38)</f>
        <v>1012200</v>
      </c>
      <c r="L12" s="25">
        <f>AVERAGE('Prix par Préfecture'!L34:L38)</f>
        <v>164200</v>
      </c>
    </row>
  </sheetData>
  <mergeCells count="2">
    <mergeCell ref="A1:L1"/>
    <mergeCell ref="A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Prix par Préfecture</vt:lpstr>
      <vt:lpstr>Images Produits</vt:lpstr>
      <vt:lpstr>URLs Pages</vt:lpstr>
      <vt:lpstr>Prix Moyen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Salifou Doukoure</cp:lastModifiedBy>
  <dcterms:created xsi:type="dcterms:W3CDTF">2026-04-08T21:35:21Z</dcterms:created>
  <dcterms:modified xsi:type="dcterms:W3CDTF">2026-04-09T13:35:25Z</dcterms:modified>
</cp:coreProperties>
</file>