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FB9FF54-B31A-4934-8412-DA22E0D87F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ructure" sheetId="4" r:id="rId1"/>
    <sheet name="Matrice" sheetId="3" r:id="rId2"/>
    <sheet name="Données" sheetId="1" r:id="rId3"/>
    <sheet name="Dashboard" sheetId="2" r:id="rId4"/>
    <sheet name="CONSOLID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7" i="5"/>
  <c r="D6" i="5"/>
  <c r="D5" i="5"/>
  <c r="D2" i="5"/>
  <c r="D9" i="4"/>
  <c r="D7" i="4"/>
  <c r="D6" i="4"/>
  <c r="D5" i="4"/>
  <c r="D2" i="4"/>
  <c r="D11" i="3"/>
  <c r="D10" i="3"/>
  <c r="D8" i="3"/>
  <c r="D7" i="3"/>
  <c r="D6" i="3"/>
  <c r="D2" i="3"/>
</calcChain>
</file>

<file path=xl/sharedStrings.xml><?xml version="1.0" encoding="utf-8"?>
<sst xmlns="http://schemas.openxmlformats.org/spreadsheetml/2006/main" count="255" uniqueCount="164">
  <si>
    <t>Nom de l'entreprise</t>
  </si>
  <si>
    <t>Secteur d'activité</t>
  </si>
  <si>
    <t>Localisation de l'entreprise</t>
  </si>
  <si>
    <t>Type de commerce</t>
  </si>
  <si>
    <t>Année de création</t>
  </si>
  <si>
    <t>Chiffre d'affaires (total)</t>
  </si>
  <si>
    <t>Croissance des ventes (%)</t>
  </si>
  <si>
    <t>Marge brute</t>
  </si>
  <si>
    <t>Panier moyen</t>
  </si>
  <si>
    <t>Rotation des stocks</t>
  </si>
  <si>
    <t>Taux de rupture de stock (%)</t>
  </si>
  <si>
    <t>Inflation / Évolution des prix (%)</t>
  </si>
  <si>
    <t>Part des produits importés (%)</t>
  </si>
  <si>
    <t>Délai moyen d'approvisionnement (jours)</t>
  </si>
  <si>
    <t>Part du commerce formel / Recettes fiscales commerciales (%)</t>
  </si>
  <si>
    <t>Difficultés rencontrées dans le suivi des performances</t>
  </si>
  <si>
    <t>Stratégies pour améliorer ventes et marges</t>
  </si>
  <si>
    <t>Informations supplémentaires</t>
  </si>
  <si>
    <t>Consentement à l'enquête</t>
  </si>
  <si>
    <t>KPI</t>
  </si>
  <si>
    <t>Définition</t>
  </si>
  <si>
    <t>Formule</t>
  </si>
  <si>
    <t>Source de données</t>
  </si>
  <si>
    <t>Chiffre d'affaires</t>
  </si>
  <si>
    <t>Montant total des ventes réalisées sur une période donnée.</t>
  </si>
  <si>
    <t>Système de gestion des ventes</t>
  </si>
  <si>
    <t>Croissance des ventes</t>
  </si>
  <si>
    <t>Variation du chiffre d'affaires entre deux périodes.</t>
  </si>
  <si>
    <t>Système de gestion des ventes et comptabilité</t>
  </si>
  <si>
    <t>Différence entre les revenus générés par la vente de produits et leur coût d'achat.</t>
  </si>
  <si>
    <t>Comptabilité et gestion des stocks</t>
  </si>
  <si>
    <t>Montant moyen des ventes réalisées par transaction.</t>
  </si>
  <si>
    <t>Nombre de fois où un stock est vendu et remplacé pendant une période.</t>
  </si>
  <si>
    <t>Système de gestion des stocks</t>
  </si>
  <si>
    <t>Taux de rupture</t>
  </si>
  <si>
    <t>Proportion de produits en rupture de stock par rapport au total des produits.</t>
  </si>
  <si>
    <t>Système de gestion des stocks et ventes</t>
  </si>
  <si>
    <t>Inflation / Évolution des prix</t>
  </si>
  <si>
    <t>Variation des prix des biens et services, représentant l'inflation.</t>
  </si>
  <si>
    <t>Données économiques locales et banques centrales</t>
  </si>
  <si>
    <t>Part des produits importés</t>
  </si>
  <si>
    <t>Proportion de produits importés dans les ventes totales.</t>
  </si>
  <si>
    <t>Délai moyen d'approvisionnement</t>
  </si>
  <si>
    <t>Temps moyen nécessaire pour réceptionner les marchandises après commande.</t>
  </si>
  <si>
    <t>Système d'approvisionnement et logistique</t>
  </si>
  <si>
    <t>Part du commerce formel / Recettes fiscales commerciales</t>
  </si>
  <si>
    <t>Proportion du commerce formel par rapport au commerce informel et recettes fiscales liées.</t>
  </si>
  <si>
    <t>Données fiscales et comptabilité</t>
  </si>
  <si>
    <t>Entreprise A</t>
  </si>
  <si>
    <t>Commerce de détail</t>
  </si>
  <si>
    <t>Conakry</t>
  </si>
  <si>
    <t>Formelle</t>
  </si>
  <si>
    <t>Manque de personnel qualifié</t>
  </si>
  <si>
    <t>Renforcer la formation et la gestion des stocks</t>
  </si>
  <si>
    <t>Expansion prévue dans les zones rurales</t>
  </si>
  <si>
    <t>Oui</t>
  </si>
  <si>
    <t>Entreprise B</t>
  </si>
  <si>
    <t>Commerce de gros</t>
  </si>
  <si>
    <t>Problèmes d'approvisionnement</t>
  </si>
  <si>
    <t>Négocier de meilleurs contrats avec les fournisseurs</t>
  </si>
  <si>
    <t>Diversification des produits</t>
  </si>
  <si>
    <t>Entreprise C</t>
  </si>
  <si>
    <t>Labe</t>
  </si>
  <si>
    <t>Problèmes de trésorerie</t>
  </si>
  <si>
    <t>Optimisation des coûts et des stocks</t>
  </si>
  <si>
    <t>Développement d'une plateforme en ligne</t>
  </si>
  <si>
    <t>Entreprise D</t>
  </si>
  <si>
    <t>Labé</t>
  </si>
  <si>
    <t>1. Chiffre d'affaires</t>
  </si>
  <si>
    <r>
      <t>Description</t>
    </r>
    <r>
      <rPr>
        <sz val="11"/>
        <color theme="1"/>
        <rFont val="Calibri"/>
        <family val="2"/>
        <scheme val="minor"/>
      </rPr>
      <t xml:space="preserve"> : Le chiffre d'affaires représente le total des ventes réalisées sur une période donnée, sans tenir compte des coûts associés.</t>
    </r>
  </si>
  <si>
    <r>
      <t>Méthode d'agrégation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</si>
  <si>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Agrégation par </t>
    </r>
    <r>
      <rPr>
        <b/>
        <sz val="11"/>
        <color theme="1"/>
        <rFont val="Calibri"/>
        <family val="2"/>
        <scheme val="minor"/>
      </rPr>
      <t>somme</t>
    </r>
    <r>
      <rPr>
        <sz val="11"/>
        <color theme="1"/>
        <rFont val="Calibri"/>
        <family val="2"/>
        <scheme val="minor"/>
      </rPr>
      <t xml:space="preserve"> des ventes réalisées.</t>
    </r>
  </si>
  <si>
    <r>
      <t xml:space="preserve">Pour les </t>
    </r>
    <r>
      <rPr>
        <b/>
        <sz val="11"/>
        <color theme="1"/>
        <rFont val="Calibri"/>
        <family val="2"/>
        <scheme val="minor"/>
      </rPr>
      <t>tableaux de bord</t>
    </r>
    <r>
      <rPr>
        <sz val="11"/>
        <color theme="1"/>
        <rFont val="Calibri"/>
        <family val="2"/>
        <scheme val="minor"/>
      </rPr>
      <t xml:space="preserve">, une </t>
    </r>
    <r>
      <rPr>
        <b/>
        <sz val="11"/>
        <color theme="1"/>
        <rFont val="Calibri"/>
        <family val="2"/>
        <scheme val="minor"/>
      </rPr>
      <t>moyenne</t>
    </r>
    <r>
      <rPr>
        <sz val="11"/>
        <color theme="1"/>
        <rFont val="Calibri"/>
        <family val="2"/>
        <scheme val="minor"/>
      </rPr>
      <t xml:space="preserve"> mensuelle ou trimestrielle peut être utile.</t>
    </r>
  </si>
  <si>
    <t>2. Croissance des ventes (%)</t>
  </si>
  <si>
    <r>
      <t xml:space="preserve">Calcul basé sur la </t>
    </r>
    <r>
      <rPr>
        <b/>
        <sz val="11"/>
        <color theme="1"/>
        <rFont val="Calibri"/>
        <family val="2"/>
        <scheme val="minor"/>
      </rPr>
      <t>différence relative</t>
    </r>
    <r>
      <rPr>
        <sz val="11"/>
        <color theme="1"/>
        <rFont val="Calibri"/>
        <family val="2"/>
        <scheme val="minor"/>
      </rPr>
      <t xml:space="preserve"> entre le chiffre d'affaires de la période actuelle et celui de la période précédente.</t>
    </r>
  </si>
  <si>
    <t>3. Marge brute</t>
  </si>
  <si>
    <r>
      <t xml:space="preserve">Agrégation par </t>
    </r>
    <r>
      <rPr>
        <b/>
        <sz val="11"/>
        <color theme="1"/>
        <rFont val="Calibri"/>
        <family val="2"/>
        <scheme val="minor"/>
      </rPr>
      <t>somme</t>
    </r>
    <r>
      <rPr>
        <sz val="11"/>
        <color theme="1"/>
        <rFont val="Calibri"/>
        <family val="2"/>
        <scheme val="minor"/>
      </rPr>
      <t xml:space="preserve"> pour obtenir la marge brute totale.</t>
    </r>
  </si>
  <si>
    <r>
      <t>Marge par produit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par segment de marché</t>
    </r>
    <r>
      <rPr>
        <sz val="11"/>
        <color theme="1"/>
        <rFont val="Calibri"/>
        <family val="2"/>
        <scheme val="minor"/>
      </rPr>
      <t xml:space="preserve"> peut être utile pour identifier les zones les plus rentables.</t>
    </r>
  </si>
  <si>
    <t>4. Panier moyen</t>
  </si>
  <si>
    <r>
      <t xml:space="preserve">Moyenne des valeurs des transactions pour obtenir une mesure du </t>
    </r>
    <r>
      <rPr>
        <b/>
        <sz val="11"/>
        <color theme="1"/>
        <rFont val="Calibri"/>
        <family val="2"/>
        <scheme val="minor"/>
      </rPr>
      <t>panier moyen</t>
    </r>
    <r>
      <rPr>
        <sz val="11"/>
        <color theme="1"/>
        <rFont val="Calibri"/>
        <family val="2"/>
        <scheme val="minor"/>
      </rPr>
      <t>.</t>
    </r>
  </si>
  <si>
    <t>5. Rotation des stocks</t>
  </si>
  <si>
    <r>
      <t xml:space="preserve">Calcul basé sur le </t>
    </r>
    <r>
      <rPr>
        <b/>
        <sz val="11"/>
        <color theme="1"/>
        <rFont val="Calibri"/>
        <family val="2"/>
        <scheme val="minor"/>
      </rPr>
      <t>coût des ventes</t>
    </r>
    <r>
      <rPr>
        <sz val="11"/>
        <color theme="1"/>
        <rFont val="Calibri"/>
        <family val="2"/>
        <scheme val="minor"/>
      </rPr>
      <t xml:space="preserve"> et le </t>
    </r>
    <r>
      <rPr>
        <b/>
        <sz val="11"/>
        <color theme="1"/>
        <rFont val="Calibri"/>
        <family val="2"/>
        <scheme val="minor"/>
      </rPr>
      <t>stock moyen</t>
    </r>
    <r>
      <rPr>
        <sz val="11"/>
        <color theme="1"/>
        <rFont val="Calibri"/>
        <family val="2"/>
        <scheme val="minor"/>
      </rPr>
      <t>.</t>
    </r>
  </si>
  <si>
    <t>6. Taux de rupture de stock (%)</t>
  </si>
  <si>
    <r>
      <t>Description</t>
    </r>
    <r>
      <rPr>
        <sz val="11"/>
        <color theme="1"/>
        <rFont val="Calibri"/>
        <family val="2"/>
        <scheme val="minor"/>
      </rPr>
      <t xml:space="preserve"> : Le pourcentage de produits en rupture de stock par rapport au total des produits disponibles.</t>
    </r>
  </si>
  <si>
    <r>
      <t>Moyenne</t>
    </r>
    <r>
      <rPr>
        <sz val="11"/>
        <color theme="1"/>
        <rFont val="Calibri"/>
        <family val="2"/>
        <scheme val="minor"/>
      </rPr>
      <t xml:space="preserve"> des taux de rupture sur une période donnée.</t>
    </r>
  </si>
  <si>
    <t>7. Inflation / Évolution des prix (%)</t>
  </si>
  <si>
    <r>
      <t xml:space="preserve">Calcul basé sur la </t>
    </r>
    <r>
      <rPr>
        <b/>
        <sz val="11"/>
        <color theme="1"/>
        <rFont val="Calibri"/>
        <family val="2"/>
        <scheme val="minor"/>
      </rPr>
      <t>variation relative des prix</t>
    </r>
    <r>
      <rPr>
        <sz val="11"/>
        <color theme="1"/>
        <rFont val="Calibri"/>
        <family val="2"/>
        <scheme val="minor"/>
      </rPr>
      <t xml:space="preserve"> des produits clés sur une période donnée.</t>
    </r>
  </si>
  <si>
    <t>8. Part des produits importés (%)</t>
  </si>
  <si>
    <r>
      <t>Description</t>
    </r>
    <r>
      <rPr>
        <sz val="11"/>
        <color theme="1"/>
        <rFont val="Calibri"/>
        <family val="2"/>
        <scheme val="minor"/>
      </rPr>
      <t xml:space="preserve"> : La proportion des produits importés dans les ventes totales.</t>
    </r>
  </si>
  <si>
    <r>
      <t xml:space="preserve">Calcul basé sur la </t>
    </r>
    <r>
      <rPr>
        <b/>
        <sz val="11"/>
        <color theme="1"/>
        <rFont val="Calibri"/>
        <family val="2"/>
        <scheme val="minor"/>
      </rPr>
      <t>valeur des produits importés</t>
    </r>
    <r>
      <rPr>
        <sz val="11"/>
        <color theme="1"/>
        <rFont val="Calibri"/>
        <family val="2"/>
        <scheme val="minor"/>
      </rPr>
      <t xml:space="preserve"> par rapport au </t>
    </r>
    <r>
      <rPr>
        <b/>
        <sz val="11"/>
        <color theme="1"/>
        <rFont val="Calibri"/>
        <family val="2"/>
        <scheme val="minor"/>
      </rPr>
      <t>chiffre d'affaires total</t>
    </r>
    <r>
      <rPr>
        <sz val="11"/>
        <color theme="1"/>
        <rFont val="Calibri"/>
        <family val="2"/>
        <scheme val="minor"/>
      </rPr>
      <t>.</t>
    </r>
  </si>
  <si>
    <t>9. Délai moyen d'approvisionnement (jours)</t>
  </si>
  <si>
    <r>
      <t>Description</t>
    </r>
    <r>
      <rPr>
        <sz val="11"/>
        <color theme="1"/>
        <rFont val="Calibri"/>
        <family val="2"/>
        <scheme val="minor"/>
      </rPr>
      <t xml:space="preserve"> : Le délai moyen entre la commande et la réception des produits.</t>
    </r>
  </si>
  <si>
    <r>
      <t xml:space="preserve">Calcul basé sur la </t>
    </r>
    <r>
      <rPr>
        <b/>
        <sz val="11"/>
        <color theme="1"/>
        <rFont val="Calibri"/>
        <family val="2"/>
        <scheme val="minor"/>
      </rPr>
      <t>somme des délais</t>
    </r>
    <r>
      <rPr>
        <sz val="11"/>
        <color theme="1"/>
        <rFont val="Calibri"/>
        <family val="2"/>
        <scheme val="minor"/>
      </rPr>
      <t xml:space="preserve"> de livraison de chaque commande, puis </t>
    </r>
    <r>
      <rPr>
        <b/>
        <sz val="11"/>
        <color theme="1"/>
        <rFont val="Calibri"/>
        <family val="2"/>
        <scheme val="minor"/>
      </rPr>
      <t>moyenne</t>
    </r>
    <r>
      <rPr>
        <sz val="11"/>
        <color theme="1"/>
        <rFont val="Calibri"/>
        <family val="2"/>
        <scheme val="minor"/>
      </rPr>
      <t xml:space="preserve"> des délais.</t>
    </r>
  </si>
  <si>
    <t>10. Part du commerce formel / Recettes fiscales commerciales (%)</t>
  </si>
  <si>
    <r>
      <t>Description</t>
    </r>
    <r>
      <rPr>
        <sz val="11"/>
        <color theme="1"/>
        <rFont val="Calibri"/>
        <family val="2"/>
        <scheme val="minor"/>
      </rPr>
      <t xml:space="preserve"> : La part des recettes fiscales générées par le commerce formel, par rapport au commerce total, ou la proportion des ventes soumises à la fiscalité formelle.</t>
    </r>
  </si>
  <si>
    <r>
      <t xml:space="preserve">Calcul basé sur les </t>
    </r>
    <r>
      <rPr>
        <b/>
        <sz val="11"/>
        <color theme="1"/>
        <rFont val="Calibri"/>
        <family val="2"/>
        <scheme val="minor"/>
      </rPr>
      <t>recettes fiscales</t>
    </r>
    <r>
      <rPr>
        <sz val="11"/>
        <color theme="1"/>
        <rFont val="Calibri"/>
        <family val="2"/>
        <scheme val="minor"/>
      </rPr>
      <t xml:space="preserve"> générées par le secteur formel par rapport au </t>
    </r>
    <r>
      <rPr>
        <b/>
        <sz val="11"/>
        <color theme="1"/>
        <rFont val="Calibri"/>
        <family val="2"/>
        <scheme val="minor"/>
      </rPr>
      <t>chiffre d'affaires total</t>
    </r>
    <r>
      <rPr>
        <sz val="11"/>
        <color theme="1"/>
        <rFont val="Calibri"/>
        <family val="2"/>
        <scheme val="minor"/>
      </rPr>
      <t>.</t>
    </r>
  </si>
  <si>
    <t>Méthode de synthèse dans le tableau de bord dynamique :</t>
  </si>
  <si>
    <r>
      <t>1. Agrégation par Secteur / Type de Commerce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</si>
  <si>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Calcul des moyennes, des sommes ou des médianes pour chaque KPI, selon le </t>
    </r>
    <r>
      <rPr>
        <b/>
        <sz val="11"/>
        <color theme="1"/>
        <rFont val="Calibri"/>
        <family val="2"/>
        <scheme val="minor"/>
      </rPr>
      <t>secteur d'activité</t>
    </r>
    <r>
      <rPr>
        <sz val="11"/>
        <color theme="1"/>
        <rFont val="Calibri"/>
        <family val="2"/>
        <scheme val="minor"/>
      </rPr>
      <t xml:space="preserve"> ou le </t>
    </r>
    <r>
      <rPr>
        <b/>
        <sz val="11"/>
        <color theme="1"/>
        <rFont val="Calibri"/>
        <family val="2"/>
        <scheme val="minor"/>
      </rPr>
      <t>type de commerce</t>
    </r>
    <r>
      <rPr>
        <sz val="11"/>
        <color theme="1"/>
        <rFont val="Calibri"/>
        <family val="2"/>
        <scheme val="minor"/>
      </rPr>
      <t>.</t>
    </r>
  </si>
  <si>
    <t>Par exemple, pour "Croissance des ventes (%)", tu peux calculer la moyenne de la croissance des ventes pour chaque type de commerce ou secteur d'activité.</t>
  </si>
  <si>
    <r>
      <t>2. Graphiques Dynamiques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</si>
  <si>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Utilisation de </t>
    </r>
    <r>
      <rPr>
        <b/>
        <sz val="11"/>
        <color theme="1"/>
        <rFont val="Calibri"/>
        <family val="2"/>
        <scheme val="minor"/>
      </rPr>
      <t>graphes à barres</t>
    </r>
    <r>
      <rPr>
        <sz val="11"/>
        <color theme="1"/>
        <rFont val="Calibri"/>
        <family val="2"/>
        <scheme val="minor"/>
      </rPr>
      <t xml:space="preserve"> pour visualiser l’évolution de la </t>
    </r>
    <r>
      <rPr>
        <b/>
        <sz val="11"/>
        <color theme="1"/>
        <rFont val="Calibri"/>
        <family val="2"/>
        <scheme val="minor"/>
      </rPr>
      <t>croissance des ventes</t>
    </r>
    <r>
      <rPr>
        <sz val="11"/>
        <color theme="1"/>
        <rFont val="Calibri"/>
        <family val="2"/>
        <scheme val="minor"/>
      </rPr>
      <t xml:space="preserve"> ou de </t>
    </r>
    <r>
      <rPr>
        <b/>
        <sz val="11"/>
        <color theme="1"/>
        <rFont val="Calibri"/>
        <family val="2"/>
        <scheme val="minor"/>
      </rPr>
      <t>la part des produits importés</t>
    </r>
    <r>
      <rPr>
        <sz val="11"/>
        <color theme="1"/>
        <rFont val="Calibri"/>
        <family val="2"/>
        <scheme val="minor"/>
      </rPr>
      <t>.</t>
    </r>
  </si>
  <si>
    <r>
      <t xml:space="preserve">Utilisation de </t>
    </r>
    <r>
      <rPr>
        <b/>
        <sz val="11"/>
        <color theme="1"/>
        <rFont val="Calibri"/>
        <family val="2"/>
        <scheme val="minor"/>
      </rPr>
      <t>graphes en secteurs</t>
    </r>
    <r>
      <rPr>
        <sz val="11"/>
        <color theme="1"/>
        <rFont val="Calibri"/>
        <family val="2"/>
        <scheme val="minor"/>
      </rPr>
      <t xml:space="preserve"> pour représenter la répartition des produits importés par rapport aux produits locaux.</t>
    </r>
  </si>
  <si>
    <r>
      <t>3. Tableaux Croisés Dynamiques (TCD)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</si>
  <si>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Création de </t>
    </r>
    <r>
      <rPr>
        <b/>
        <sz val="11"/>
        <color theme="1"/>
        <rFont val="Calibri"/>
        <family val="2"/>
        <scheme val="minor"/>
      </rPr>
      <t>tableaux croisés dynamiques</t>
    </r>
    <r>
      <rPr>
        <sz val="11"/>
        <color theme="1"/>
        <rFont val="Calibri"/>
        <family val="2"/>
        <scheme val="minor"/>
      </rPr>
      <t xml:space="preserve"> permettant de filtrer les données par </t>
    </r>
    <r>
      <rPr>
        <b/>
        <sz val="11"/>
        <color theme="1"/>
        <rFont val="Calibri"/>
        <family val="2"/>
        <scheme val="minor"/>
      </rPr>
      <t>secteur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localisation</t>
    </r>
    <r>
      <rPr>
        <sz val="11"/>
        <color theme="1"/>
        <rFont val="Calibri"/>
        <family val="2"/>
        <scheme val="minor"/>
      </rPr>
      <t xml:space="preserve"> et de synthétiser les résultats sous forme de moyennes ou de totaux.</t>
    </r>
  </si>
  <si>
    <r>
      <t>4. Mise en forme conditionnelle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</si>
  <si>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Application de </t>
    </r>
    <r>
      <rPr>
        <b/>
        <sz val="11"/>
        <color theme="1"/>
        <rFont val="Calibri"/>
        <family val="2"/>
        <scheme val="minor"/>
      </rPr>
      <t>couleurs</t>
    </r>
    <r>
      <rPr>
        <sz val="11"/>
        <color theme="1"/>
        <rFont val="Calibri"/>
        <family val="2"/>
        <scheme val="minor"/>
      </rPr>
      <t xml:space="preserve"> ou de </t>
    </r>
    <r>
      <rPr>
        <b/>
        <sz val="11"/>
        <color theme="1"/>
        <rFont val="Calibri"/>
        <family val="2"/>
        <scheme val="minor"/>
      </rPr>
      <t>barres de données</t>
    </r>
    <r>
      <rPr>
        <sz val="11"/>
        <color theme="1"/>
        <rFont val="Calibri"/>
        <family val="2"/>
        <scheme val="minor"/>
      </rPr>
      <t xml:space="preserve"> pour indiquer les valeurs faibles ou élevées, par exemple, un </t>
    </r>
    <r>
      <rPr>
        <b/>
        <sz val="11"/>
        <color theme="1"/>
        <rFont val="Calibri"/>
        <family val="2"/>
        <scheme val="minor"/>
      </rPr>
      <t>taux de rupture de stock</t>
    </r>
    <r>
      <rPr>
        <sz val="11"/>
        <color theme="1"/>
        <rFont val="Calibri"/>
        <family val="2"/>
        <scheme val="minor"/>
      </rPr>
      <t xml:space="preserve"> élevé pourrait être mis en évidence par une couleur rouge.</t>
    </r>
  </si>
  <si>
    <r>
      <t>5. Filtres interactifs</t>
    </r>
    <r>
      <rPr>
        <sz val="11"/>
        <color theme="1"/>
        <rFont val="Calibri"/>
        <family val="2"/>
        <scheme val="minor"/>
      </rPr>
      <t xml:space="preserve"> :</t>
    </r>
  </si>
  <si>
    <r>
      <t xml:space="preserve">Ajout de </t>
    </r>
    <r>
      <rPr>
        <b/>
        <sz val="11"/>
        <color theme="1"/>
        <rFont val="Calibri"/>
        <family val="2"/>
        <scheme val="minor"/>
      </rPr>
      <t>filtres</t>
    </r>
    <r>
      <rPr>
        <sz val="11"/>
        <color theme="1"/>
        <rFont val="Calibri"/>
        <family val="2"/>
        <scheme val="minor"/>
      </rPr>
      <t xml:space="preserve"> permettant aux utilisateurs de sélectionner les périodes ou de visualiser les données par </t>
    </r>
    <r>
      <rPr>
        <b/>
        <sz val="11"/>
        <color theme="1"/>
        <rFont val="Calibri"/>
        <family val="2"/>
        <scheme val="minor"/>
      </rPr>
      <t>secteur</t>
    </r>
    <r>
      <rPr>
        <sz val="11"/>
        <color theme="1"/>
        <rFont val="Calibri"/>
        <family val="2"/>
        <scheme val="minor"/>
      </rPr>
      <t xml:space="preserve"> (commerce de détail vs commerce de gros) ou par </t>
    </r>
    <r>
      <rPr>
        <b/>
        <sz val="11"/>
        <color theme="1"/>
        <rFont val="Calibri"/>
        <family val="2"/>
        <scheme val="minor"/>
      </rPr>
      <t>type de commerce</t>
    </r>
    <r>
      <rPr>
        <sz val="11"/>
        <color theme="1"/>
        <rFont val="Calibri"/>
        <family val="2"/>
        <scheme val="minor"/>
      </rPr>
      <t xml:space="preserve"> (formel vs informel).</t>
    </r>
  </si>
  <si>
    <t>Exemple de méthode d'agrégation pour chaque KPI :</t>
  </si>
  <si>
    <r>
      <t>Croissance des ventes</t>
    </r>
    <r>
      <rPr>
        <sz val="11"/>
        <color theme="1"/>
        <rFont val="Calibri"/>
        <family val="2"/>
        <scheme val="minor"/>
      </rPr>
      <t xml:space="preserve"> : Moyenne des valeurs de croissance pour chaque entreprise ou par secteur.</t>
    </r>
  </si>
  <si>
    <r>
      <t>Marge brute</t>
    </r>
    <r>
      <rPr>
        <sz val="11"/>
        <color theme="1"/>
        <rFont val="Calibri"/>
        <family val="2"/>
        <scheme val="minor"/>
      </rPr>
      <t xml:space="preserve"> : Total des marges pour toutes les entreprises du secteur ou de la zone géographique.</t>
    </r>
  </si>
  <si>
    <r>
      <t>Part des produits importés</t>
    </r>
    <r>
      <rPr>
        <sz val="11"/>
        <color theme="1"/>
        <rFont val="Calibri"/>
        <family val="2"/>
        <scheme val="minor"/>
      </rPr>
      <t xml:space="preserve"> : Moyenne de la part des produits importés par entreprise dans chaque secteur.</t>
    </r>
  </si>
  <si>
    <r>
      <t>Délai moyen d'approvisionnement</t>
    </r>
    <r>
      <rPr>
        <sz val="11"/>
        <color theme="1"/>
        <rFont val="Calibri"/>
        <family val="2"/>
        <scheme val="minor"/>
      </rPr>
      <t xml:space="preserve"> : Moyenne des délais de livraison pour chaque entreprise, agrégée par secteur ou type de commerce.</t>
    </r>
  </si>
  <si>
    <t>Formule :</t>
  </si>
  <si>
    <r>
      <t>Description</t>
    </r>
    <r>
      <rPr>
        <sz val="12"/>
        <color theme="1"/>
        <rFont val="Calibri"/>
        <family val="2"/>
        <scheme val="minor"/>
      </rPr>
      <t xml:space="preserve"> : L’évolution du chiffre d’affaires par rapport à une période précédente, exprimée en pourcentage.</t>
    </r>
  </si>
  <si>
    <r>
      <t>Description</t>
    </r>
    <r>
      <rPr>
        <sz val="12"/>
        <color theme="1"/>
        <rFont val="Calibri"/>
        <family val="2"/>
        <scheme val="minor"/>
      </rPr>
      <t xml:space="preserve"> : La marge brute est la différence entre les revenus générés par la vente des produits et le coût de ces produits.</t>
    </r>
  </si>
  <si>
    <r>
      <t>Description</t>
    </r>
    <r>
      <rPr>
        <sz val="12"/>
        <color theme="1"/>
        <rFont val="Calibri"/>
        <family val="2"/>
        <scheme val="minor"/>
      </rPr>
      <t xml:space="preserve"> : Le montant moyen dépensé par un client lors d’une transaction.</t>
    </r>
  </si>
  <si>
    <r>
      <t>Description</t>
    </r>
    <r>
      <rPr>
        <sz val="12"/>
        <color theme="1"/>
        <rFont val="Calibri"/>
        <family val="2"/>
        <scheme val="minor"/>
      </rPr>
      <t xml:space="preserve"> : Le nombre de fois qu’un stock est vendu et remplacé sur une période donnée.</t>
    </r>
  </si>
  <si>
    <t xml:space="preserve">Formule : </t>
  </si>
  <si>
    <r>
      <t>Description</t>
    </r>
    <r>
      <rPr>
        <sz val="12"/>
        <color theme="1"/>
        <rFont val="Calibri"/>
        <family val="2"/>
        <scheme val="minor"/>
      </rPr>
      <t xml:space="preserve"> : L’évolution des prix des produits ou services vendus sur une période donnée, souvent influencée par les conditions économiques globales.</t>
    </r>
  </si>
  <si>
    <t>Total des ventes réalisées sur une période donnée.</t>
  </si>
  <si>
    <t>Agrégation par somme des ventes réalisées.</t>
  </si>
  <si>
    <t>300,000,000 GNF</t>
  </si>
  <si>
    <t>500,000,000 GNF</t>
  </si>
  <si>
    <t>L’évolution du chiffre d'affaires par rapport à la période précédente.</t>
  </si>
  <si>
    <t>Calcul basé sur la différence relative entre le CA actuel et celui de la période précédente.</t>
  </si>
  <si>
    <t>15%</t>
  </si>
  <si>
    <t>12%</t>
  </si>
  <si>
    <t>Différence entre les revenus générés par la vente des produits et leur coût.</t>
  </si>
  <si>
    <t>Agrégation par somme des marges brutes.</t>
  </si>
  <si>
    <t>200,000,000 GNF</t>
  </si>
  <si>
    <t>150,000,000 GNF</t>
  </si>
  <si>
    <t>Montant moyen des ventes par transaction.</t>
  </si>
  <si>
    <t>Moyenne des valeurs des transactions.</t>
  </si>
  <si>
    <t>100,000 GNF</t>
  </si>
  <si>
    <t>120,000 GNF</t>
  </si>
  <si>
    <t>Fréquence à laquelle les stocks sont vendus et remplacés.</t>
  </si>
  <si>
    <t>Agrégation par coût des ventes et stock moyen.</t>
  </si>
  <si>
    <t>5</t>
  </si>
  <si>
    <t>6</t>
  </si>
  <si>
    <t>Proportion de produits en rupture par rapport au stock total.</t>
  </si>
  <si>
    <t>Calcul du pourcentage de produits en rupture de stock.</t>
  </si>
  <si>
    <t>5%</t>
  </si>
  <si>
    <t>3%</t>
  </si>
  <si>
    <t>Variation des prix des produits sur une période donnée.</t>
  </si>
  <si>
    <t>Variation relative des prix des produits.</t>
  </si>
  <si>
    <t>7%</t>
  </si>
  <si>
    <t>Proportion des produits importés dans les ventes.</t>
  </si>
  <si>
    <t>Calcul basé sur la valeur des produits importés et le chiffre d'affaires total.</t>
  </si>
  <si>
    <t>60%</t>
  </si>
  <si>
    <t>55%</t>
  </si>
  <si>
    <t>Délai entre la commande et la réception des produits.</t>
  </si>
  <si>
    <t>Calcul basé sur la somme des délais de livraison et le nombre de commandes.</t>
  </si>
  <si>
    <t>12 jours</t>
  </si>
  <si>
    <t>10 jours</t>
  </si>
  <si>
    <t>Part du commerce formel (%)</t>
  </si>
  <si>
    <t>Part des ventes soumises à la fiscalité formelle.</t>
  </si>
  <si>
    <t>Calcul basé sur les recettes fiscales commerciales.</t>
  </si>
  <si>
    <t>80%</t>
  </si>
  <si>
    <t>75%</t>
  </si>
  <si>
    <t>Description et la méthode d'agrégation pour chaque indicateur de performance clé (KPI), ainsi que des suggestions pour la synthèse des données dans un tableau de bord dynamique :</t>
  </si>
  <si>
    <t>#NOM?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</si>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</sst>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</cellXfs>
  <cellStyles count="2">
    <cellStyle name="Milliers" xfId="1" builtinId="3"/>
    <cellStyle name="Normal" xfId="0" builtinId="0"/>
  </cellStyles>
  <dxfs count="2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Données!$H$2</c:f>
              <c:strCache>
                <c:ptCount val="1"/>
                <c:pt idx="0">
                  <c:v> 10 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Données!$B$2:$B$11</c:f>
              <c:strCache>
                <c:ptCount val="4"/>
                <c:pt idx="0">
                  <c:v>Entreprise A</c:v>
                </c:pt>
                <c:pt idx="1">
                  <c:v>Entreprise B</c:v>
                </c:pt>
                <c:pt idx="2">
                  <c:v>Entreprise C</c:v>
                </c:pt>
                <c:pt idx="3">
                  <c:v>Entreprise D</c:v>
                </c:pt>
              </c:strCache>
            </c:strRef>
          </c:cat>
          <c:val>
            <c:numRef>
              <c:f>Données!$H$3:$H$11</c:f>
              <c:numCache>
                <c:formatCode>_-* #\ ##0_-;\-* #\ ##0_-;_-* "-"??_-;_-@_-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F-4403-8EB9-157B2999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-* #\ ##0_-;\-* #\ ##0_-;_-* &quot;-&quot;??_-;_-@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[1]Données!$F$2</c:f>
              <c:strCache>
                <c:ptCount val="1"/>
                <c:pt idx="0">
                  <c:v>12%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[1]Données!$A$2:$A$11</c:f>
              <c:strCache>
                <c:ptCount val="10"/>
                <c:pt idx="0">
                  <c:v>Croissance des ventes (%)</c:v>
                </c:pt>
                <c:pt idx="1">
                  <c:v>Marge brute</c:v>
                </c:pt>
                <c:pt idx="2">
                  <c:v>Panier moyen</c:v>
                </c:pt>
                <c:pt idx="3">
                  <c:v>Rotation des stocks</c:v>
                </c:pt>
                <c:pt idx="4">
                  <c:v>Taux de rupture de stock (%)</c:v>
                </c:pt>
                <c:pt idx="5">
                  <c:v>Inflation / Évolution des prix (%)</c:v>
                </c:pt>
                <c:pt idx="6">
                  <c:v>Part des produits importés (%)</c:v>
                </c:pt>
                <c:pt idx="7">
                  <c:v>Délai moyen d'approvisionnement (jours)</c:v>
                </c:pt>
                <c:pt idx="8">
                  <c:v>Part du commerce formel (%)</c:v>
                </c:pt>
              </c:strCache>
            </c:strRef>
          </c:cat>
          <c:val>
            <c:numRef>
              <c:f>[1]Données!$F$3:$F$11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B-4570-93A7-4F295D60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[1]Données!$F$7</c:f>
              <c:strCache>
                <c:ptCount val="1"/>
                <c:pt idx="0">
                  <c:v>5%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[1]Données!$A$7</c:f>
              <c:strCache>
                <c:ptCount val="1"/>
                <c:pt idx="0">
                  <c:v>Inflation / Évolution des prix (%)</c:v>
                </c:pt>
              </c:strCache>
            </c:strRef>
          </c:cat>
          <c:val>
            <c:numRef>
              <c:f>[1]Données!$F$7:$G$7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E-40EF-8D44-59EF477D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4159</xdr:colOff>
      <xdr:row>30</xdr:row>
      <xdr:rowOff>158749</xdr:rowOff>
    </xdr:from>
    <xdr:ext cx="3691542" cy="3937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E5F23ED6-7D5D-4451-928B-43558B800089}"/>
                </a:ext>
              </a:extLst>
            </xdr:cNvPr>
            <xdr:cNvSpPr txBox="1"/>
          </xdr:nvSpPr>
          <xdr:spPr>
            <a:xfrm>
              <a:off x="1404334" y="20199349"/>
              <a:ext cx="3691542" cy="3937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sz="1100" b="1" baseline="0"/>
                <a:t> Croissance des ventes (%) </a:t>
              </a:r>
              <a14:m>
                <m:oMath xmlns:m="http://schemas.openxmlformats.org/officeDocument/2006/math">
                  <m:r>
                    <a:rPr lang="fr-FR" sz="1100" b="1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fr-FR" sz="11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1100" b="1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nor/>
                        </m:rPr>
                        <a:rPr lang="fr-FR" b="1"/>
                        <m:t>CA</m:t>
                      </m:r>
                      <m:r>
                        <m:rPr>
                          <m:nor/>
                        </m:rPr>
                        <a:rPr lang="fr-FR" b="1" i="0"/>
                        <m:t> </m:t>
                      </m:r>
                      <m:r>
                        <m:rPr>
                          <m:nor/>
                        </m:rPr>
                        <a:rPr lang="fr-FR" b="1"/>
                        <m:t>actuel</m:t>
                      </m:r>
                      <m:r>
                        <m:rPr>
                          <m:nor/>
                        </m:rPr>
                        <a:rPr lang="fr-FR" b="1"/>
                        <m:t>​−</m:t>
                      </m:r>
                      <m:r>
                        <m:rPr>
                          <m:nor/>
                        </m:rPr>
                        <a:rPr lang="fr-FR" b="1"/>
                        <m:t>CA</m:t>
                      </m:r>
                      <m:r>
                        <m:rPr>
                          <m:nor/>
                        </m:rPr>
                        <a:rPr lang="fr-FR" b="1" i="0"/>
                        <m:t> </m:t>
                      </m:r>
                      <m:r>
                        <m:rPr>
                          <m:nor/>
                        </m:rPr>
                        <a:rPr lang="fr-FR" b="1"/>
                        <m:t>pr</m:t>
                      </m:r>
                      <m:r>
                        <m:rPr>
                          <m:nor/>
                        </m:rPr>
                        <a:rPr lang="fr-FR" b="1" i="0"/>
                        <m:t>é</m:t>
                      </m:r>
                      <m:r>
                        <m:rPr>
                          <m:nor/>
                        </m:rPr>
                        <a:rPr lang="fr-FR" b="1"/>
                        <m:t>cedent</m:t>
                      </m:r>
                      <m:r>
                        <m:rPr>
                          <m:nor/>
                        </m:rPr>
                        <a:rPr lang="fr-FR" b="1"/>
                        <m:t>​</m:t>
                      </m:r>
                      <m:r>
                        <a:rPr lang="fr-FR" b="1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fr-FR" sz="1100" b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CA</m:t>
                      </m:r>
                      <m:r>
                        <m:rPr>
                          <m:nor/>
                        </m:rPr>
                        <a:rPr lang="fr-FR" sz="1100" b="1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fr-FR" sz="1100" b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pr</m:t>
                      </m:r>
                      <m:r>
                        <m:rPr>
                          <m:nor/>
                        </m:rPr>
                        <a:rPr lang="fr-FR" sz="1100" b="1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é</m:t>
                      </m:r>
                      <m:r>
                        <m:rPr>
                          <m:nor/>
                        </m:rPr>
                        <a:rPr lang="fr-FR" sz="1100" b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cedent</m:t>
                      </m:r>
                    </m:den>
                  </m:f>
                </m:oMath>
              </a14:m>
              <a:r>
                <a:rPr lang="fr-FR" sz="1100" b="1"/>
                <a:t> x 100</a:t>
              </a:r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E5F23ED6-7D5D-4451-928B-43558B800089}"/>
                </a:ext>
              </a:extLst>
            </xdr:cNvPr>
            <xdr:cNvSpPr txBox="1"/>
          </xdr:nvSpPr>
          <xdr:spPr>
            <a:xfrm>
              <a:off x="1404334" y="20199349"/>
              <a:ext cx="3691542" cy="3937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sz="1100" b="1" baseline="0"/>
                <a:t> Croissance des ventes (%) </a:t>
              </a:r>
              <a:r>
                <a:rPr lang="fr-FR" sz="1100" b="1" i="0">
                  <a:latin typeface="Cambria Math" panose="02040503050406030204" pitchFamily="18" charset="0"/>
                </a:rPr>
                <a:t>=(("</a:t>
              </a:r>
              <a:r>
                <a:rPr lang="fr-FR" b="1" i="0"/>
                <a:t>CA actuel​−CA précedent​</a:t>
              </a:r>
              <a:r>
                <a:rPr lang="fr-FR" b="1" i="0">
                  <a:latin typeface="Cambria Math" panose="02040503050406030204" pitchFamily="18" charset="0"/>
                </a:rPr>
                <a:t>" )</a:t>
              </a:r>
              <a:r>
                <a:rPr lang="fr-FR" sz="1100" b="1" i="0">
                  <a:latin typeface="Cambria Math" panose="02040503050406030204" pitchFamily="18" charset="0"/>
                </a:rPr>
                <a:t>)/</a:t>
              </a:r>
              <a:r>
                <a:rPr lang="fr-F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"CA précedent</a:t>
              </a:r>
              <a:r>
                <a:rPr lang="fr-F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fr-FR" sz="1100" b="1"/>
                <a:t> x 100</a:t>
              </a:r>
            </a:p>
          </xdr:txBody>
        </xdr:sp>
      </mc:Fallback>
    </mc:AlternateContent>
    <xdr:clientData/>
  </xdr:oneCellAnchor>
  <xdr:oneCellAnchor>
    <xdr:from>
      <xdr:col>0</xdr:col>
      <xdr:colOff>489933</xdr:colOff>
      <xdr:row>50</xdr:row>
      <xdr:rowOff>101600</xdr:rowOff>
    </xdr:from>
    <xdr:ext cx="4586891" cy="409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2A8E61A-41C9-498B-98F0-30CE347A742A}"/>
                </a:ext>
              </a:extLst>
            </xdr:cNvPr>
            <xdr:cNvSpPr txBox="1"/>
          </xdr:nvSpPr>
          <xdr:spPr>
            <a:xfrm>
              <a:off x="489933" y="23952200"/>
              <a:ext cx="4586891" cy="40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1" i="1">
                        <a:latin typeface="Cambria Math" panose="02040503050406030204" pitchFamily="18" charset="0"/>
                      </a:rPr>
                      <m:t>𝑷𝒂𝒏𝒊𝒆𝒓</m:t>
                    </m:r>
                    <m:r>
                      <a:rPr lang="fr-FR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1" i="1">
                        <a:latin typeface="Cambria Math" panose="02040503050406030204" pitchFamily="18" charset="0"/>
                      </a:rPr>
                      <m:t>𝒎𝒐𝒚𝒆𝒏</m:t>
                    </m:r>
                    <m:r>
                      <a:rPr lang="fr-FR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𝑪𝒉𝒊𝒇𝒇𝒓𝒆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𝒅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’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𝒂𝒇𝒇𝒂𝒊𝒓𝒆𝒔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𝒕𝒐𝒕𝒂𝒍</m:t>
                        </m:r>
                      </m:num>
                      <m:den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𝑵𝒐𝒎𝒃𝒓𝒆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𝒅𝒆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𝒕𝒓𝒂𝒏𝒔𝒂𝒄𝒕𝒊𝒐𝒏𝒔</m:t>
                        </m:r>
                      </m:den>
                    </m:f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2A8E61A-41C9-498B-98F0-30CE347A742A}"/>
                </a:ext>
              </a:extLst>
            </xdr:cNvPr>
            <xdr:cNvSpPr txBox="1"/>
          </xdr:nvSpPr>
          <xdr:spPr>
            <a:xfrm>
              <a:off x="489933" y="23952200"/>
              <a:ext cx="4586891" cy="40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FR" sz="1100" b="1" i="0">
                  <a:latin typeface="Cambria Math" panose="02040503050406030204" pitchFamily="18" charset="0"/>
                </a:rPr>
                <a:t>𝑷𝒂𝒏𝒊𝒆𝒓 𝒎𝒐𝒚𝒆𝒏=(𝑪𝒉𝒊𝒇𝒇𝒓𝒆 𝒅’𝒂𝒇𝒇𝒂𝒊𝒓𝒆𝒔 𝒕𝒐𝒕𝒂𝒍)/𝑵𝒐𝒎𝒃𝒓𝒆 𝒅𝒆 𝒕𝒓𝒂𝒏𝒔𝒂𝒄𝒕𝒊𝒐𝒏𝒔</a:t>
              </a:r>
              <a:endParaRPr lang="fr-FR" sz="1100" b="1"/>
            </a:p>
          </xdr:txBody>
        </xdr:sp>
      </mc:Fallback>
    </mc:AlternateContent>
    <xdr:clientData/>
  </xdr:oneCellAnchor>
  <xdr:oneCellAnchor>
    <xdr:from>
      <xdr:col>0</xdr:col>
      <xdr:colOff>756633</xdr:colOff>
      <xdr:row>60</xdr:row>
      <xdr:rowOff>111124</xdr:rowOff>
    </xdr:from>
    <xdr:ext cx="3710591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B05B42EC-497A-4C1E-BAE9-3AFB3C3B3DCE}"/>
                </a:ext>
              </a:extLst>
            </xdr:cNvPr>
            <xdr:cNvSpPr txBox="1"/>
          </xdr:nvSpPr>
          <xdr:spPr>
            <a:xfrm>
              <a:off x="756633" y="25866724"/>
              <a:ext cx="3710591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fr-FR" b="1"/>
                      <m:t>Rotation</m:t>
                    </m:r>
                    <m:r>
                      <m:rPr>
                        <m:nor/>
                      </m:rPr>
                      <a:rPr lang="fr-FR" b="1"/>
                      <m:t> </m:t>
                    </m:r>
                    <m:r>
                      <m:rPr>
                        <m:nor/>
                      </m:rPr>
                      <a:rPr lang="fr-FR" b="1"/>
                      <m:t>des</m:t>
                    </m:r>
                    <m:r>
                      <m:rPr>
                        <m:nor/>
                      </m:rPr>
                      <a:rPr lang="fr-FR" b="1"/>
                      <m:t> </m:t>
                    </m:r>
                    <m:r>
                      <m:rPr>
                        <m:nor/>
                      </m:rPr>
                      <a:rPr lang="fr-FR" b="1"/>
                      <m:t>stocks</m:t>
                    </m:r>
                    <m:r>
                      <a:rPr lang="fr-FR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𝑪𝒐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û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𝒅𝒆𝒔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𝒗𝒆𝒏𝒕𝒆𝒔</m:t>
                        </m:r>
                      </m:num>
                      <m:den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𝑺𝒕𝒐𝒄𝒌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𝒎𝒐𝒚𝒆𝒏</m:t>
                        </m:r>
                      </m:den>
                    </m:f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B05B42EC-497A-4C1E-BAE9-3AFB3C3B3DCE}"/>
                </a:ext>
              </a:extLst>
            </xdr:cNvPr>
            <xdr:cNvSpPr txBox="1"/>
          </xdr:nvSpPr>
          <xdr:spPr>
            <a:xfrm>
              <a:off x="756633" y="25866724"/>
              <a:ext cx="3710591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FR" b="1" i="0">
                  <a:latin typeface="Cambria Math" panose="02040503050406030204" pitchFamily="18" charset="0"/>
                </a:rPr>
                <a:t>"Rotation des stocks</a:t>
              </a:r>
              <a:r>
                <a:rPr lang="fr-FR" sz="1100" b="1" i="0">
                  <a:latin typeface="Cambria Math" panose="02040503050406030204" pitchFamily="18" charset="0"/>
                </a:rPr>
                <a:t>"=(𝑪𝒐û𝒕 𝒅𝒆𝒔 𝒗𝒆𝒏𝒕𝒆𝒔)/(𝑺𝒕𝒐𝒄𝒌 𝒎𝒐𝒚𝒆𝒏)</a:t>
              </a:r>
              <a:endParaRPr lang="fr-FR" sz="1100" b="1"/>
            </a:p>
          </xdr:txBody>
        </xdr:sp>
      </mc:Fallback>
    </mc:AlternateContent>
    <xdr:clientData/>
  </xdr:oneCellAnchor>
  <xdr:oneCellAnchor>
    <xdr:from>
      <xdr:col>0</xdr:col>
      <xdr:colOff>994759</xdr:colOff>
      <xdr:row>70</xdr:row>
      <xdr:rowOff>101600</xdr:rowOff>
    </xdr:from>
    <xdr:ext cx="3310541" cy="3214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83BF662-D2FB-4200-9E5C-DDC9DA3307C4}"/>
                </a:ext>
              </a:extLst>
            </xdr:cNvPr>
            <xdr:cNvSpPr txBox="1"/>
          </xdr:nvSpPr>
          <xdr:spPr>
            <a:xfrm>
              <a:off x="994759" y="27762200"/>
              <a:ext cx="3310541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fr-FR" b="1"/>
                      <m:t>Taux</m:t>
                    </m:r>
                    <m:r>
                      <m:rPr>
                        <m:nor/>
                      </m:rPr>
                      <a:rPr lang="fr-FR" b="1"/>
                      <m:t> </m:t>
                    </m:r>
                    <m:r>
                      <m:rPr>
                        <m:nor/>
                      </m:rPr>
                      <a:rPr lang="fr-FR" b="1"/>
                      <m:t>de</m:t>
                    </m:r>
                    <m:r>
                      <m:rPr>
                        <m:nor/>
                      </m:rPr>
                      <a:rPr lang="fr-FR" b="1"/>
                      <m:t> </m:t>
                    </m:r>
                    <m:r>
                      <m:rPr>
                        <m:nor/>
                      </m:rPr>
                      <a:rPr lang="fr-FR" b="1"/>
                      <m:t>rupture</m:t>
                    </m:r>
                    <m:r>
                      <m:rPr>
                        <m:nor/>
                      </m:rPr>
                      <a:rPr lang="fr-FR" b="1"/>
                      <m:t>(%)</m:t>
                    </m:r>
                    <m:r>
                      <a:rPr lang="fr-FR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𝑺𝒕𝒐𝒄𝒌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𝒆𝒏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𝒓𝒖𝒑𝒕𝒖𝒓𝒆</m:t>
                        </m:r>
                      </m:num>
                      <m:den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𝑺𝒕𝒐𝒄𝒌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100" b="1" i="1">
                            <a:latin typeface="Cambria Math" panose="02040503050406030204" pitchFamily="18" charset="0"/>
                          </a:rPr>
                          <m:t>𝒕𝒐𝒕𝒂𝒍</m:t>
                        </m:r>
                      </m:den>
                    </m:f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83BF662-D2FB-4200-9E5C-DDC9DA3307C4}"/>
                </a:ext>
              </a:extLst>
            </xdr:cNvPr>
            <xdr:cNvSpPr txBox="1"/>
          </xdr:nvSpPr>
          <xdr:spPr>
            <a:xfrm>
              <a:off x="994759" y="27762200"/>
              <a:ext cx="3310541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FR" b="1" i="0">
                  <a:latin typeface="Cambria Math" panose="02040503050406030204" pitchFamily="18" charset="0"/>
                </a:rPr>
                <a:t>"Taux de rupture(%)</a:t>
              </a:r>
              <a:r>
                <a:rPr lang="fr-FR" sz="1100" b="1" i="0">
                  <a:latin typeface="Cambria Math" panose="02040503050406030204" pitchFamily="18" charset="0"/>
                </a:rPr>
                <a:t>"=(𝑺𝒕𝒐𝒄𝒌 𝒆𝒏 𝒓𝒖𝒑𝒕𝒖𝒓𝒆)/(𝑺𝒕𝒐𝒄𝒌 𝒕𝒐𝒕𝒂𝒍)</a:t>
              </a:r>
              <a:endParaRPr lang="fr-FR" sz="1100" b="1"/>
            </a:p>
          </xdr:txBody>
        </xdr:sp>
      </mc:Fallback>
    </mc:AlternateContent>
    <xdr:clientData/>
  </xdr:oneCellAnchor>
  <xdr:oneCellAnchor>
    <xdr:from>
      <xdr:col>1</xdr:col>
      <xdr:colOff>42258</xdr:colOff>
      <xdr:row>80</xdr:row>
      <xdr:rowOff>120650</xdr:rowOff>
    </xdr:from>
    <xdr:ext cx="3843942" cy="431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43AF2806-A9ED-4AC0-A72B-6F092F5D554F}"/>
                </a:ext>
              </a:extLst>
            </xdr:cNvPr>
            <xdr:cNvSpPr txBox="1"/>
          </xdr:nvSpPr>
          <xdr:spPr>
            <a:xfrm>
              <a:off x="1442433" y="29686250"/>
              <a:ext cx="3843942" cy="431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fr-FR" sz="1200" b="1" i="1">
                      <a:latin typeface="Cambria Math" panose="02040503050406030204" pitchFamily="18" charset="0"/>
                    </a:rPr>
                    <m:t>𝑰𝒏𝒇𝒍𝒂𝒕𝒊𝒐𝒏</m:t>
                  </m:r>
                  <m:r>
                    <a:rPr lang="fr-FR" sz="1200" b="1" i="1">
                      <a:latin typeface="Cambria Math" panose="02040503050406030204" pitchFamily="18" charset="0"/>
                    </a:rPr>
                    <m:t> (%)=</m:t>
                  </m:r>
                  <m:f>
                    <m:fPr>
                      <m:ctrlPr>
                        <a:rPr lang="fr-FR" sz="12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1200" b="1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nor/>
                        </m:rPr>
                        <a:rPr lang="fr-FR" sz="1200" b="1"/>
                        <m:t>Prix</m:t>
                      </m:r>
                      <m:r>
                        <m:rPr>
                          <m:nor/>
                        </m:rPr>
                        <a:rPr lang="fr-FR" sz="1200" b="1" i="0"/>
                        <m:t> </m:t>
                      </m:r>
                      <m:r>
                        <m:rPr>
                          <m:nor/>
                        </m:rPr>
                        <a:rPr lang="fr-FR" sz="1200" b="1"/>
                        <m:t>actuel</m:t>
                      </m:r>
                      <m:r>
                        <m:rPr>
                          <m:nor/>
                        </m:rPr>
                        <a:rPr lang="fr-FR" sz="1200" b="1"/>
                        <m:t>​−</m:t>
                      </m:r>
                      <m:r>
                        <m:rPr>
                          <m:nor/>
                        </m:rPr>
                        <a:rPr lang="fr-FR" sz="1200" b="1"/>
                        <m:t>Prix</m:t>
                      </m:r>
                      <m:r>
                        <m:rPr>
                          <m:nor/>
                        </m:rPr>
                        <a:rPr lang="fr-FR" sz="1200" b="1" i="0"/>
                        <m:t> </m:t>
                      </m:r>
                      <m:r>
                        <m:rPr>
                          <m:nor/>
                        </m:rPr>
                        <a:rPr lang="fr-FR" sz="1200" b="1"/>
                        <m:t>pr</m:t>
                      </m:r>
                      <m:r>
                        <m:rPr>
                          <m:nor/>
                        </m:rPr>
                        <a:rPr lang="fr-FR" sz="1200" b="1" i="0"/>
                        <m:t>é</m:t>
                      </m:r>
                      <m:r>
                        <m:rPr>
                          <m:nor/>
                        </m:rPr>
                        <a:rPr lang="fr-FR" sz="1200" b="1"/>
                        <m:t>cedent</m:t>
                      </m:r>
                      <m:r>
                        <m:rPr>
                          <m:nor/>
                        </m:rPr>
                        <a:rPr lang="fr-FR" sz="1200" b="1" i="0"/>
                        <m:t>)</m:t>
                      </m:r>
                    </m:num>
                    <m:den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𝑷𝒓𝒊𝒙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𝒑𝒓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é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𝒄𝒆𝒅𝒆𝒏𝒕</m:t>
                      </m:r>
                    </m:den>
                  </m:f>
                </m:oMath>
              </a14:m>
              <a:r>
                <a:rPr lang="fr-FR" sz="1200" b="1"/>
                <a:t> x 100 </a:t>
              </a:r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43AF2806-A9ED-4AC0-A72B-6F092F5D554F}"/>
                </a:ext>
              </a:extLst>
            </xdr:cNvPr>
            <xdr:cNvSpPr txBox="1"/>
          </xdr:nvSpPr>
          <xdr:spPr>
            <a:xfrm>
              <a:off x="1442433" y="29686250"/>
              <a:ext cx="3843942" cy="431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sz="1200" b="1" i="0">
                  <a:latin typeface="Cambria Math" panose="02040503050406030204" pitchFamily="18" charset="0"/>
                </a:rPr>
                <a:t>𝑰𝒏𝒇𝒍𝒂𝒕𝒊𝒐𝒏 (%)=(("</a:t>
              </a:r>
              <a:r>
                <a:rPr lang="fr-FR" sz="1200" b="1" i="0"/>
                <a:t>Prix actuel​−Prix précedent)</a:t>
              </a:r>
              <a:r>
                <a:rPr lang="fr-FR" sz="1200" b="1" i="0">
                  <a:latin typeface="Cambria Math" panose="02040503050406030204" pitchFamily="18" charset="0"/>
                </a:rPr>
                <a:t>" )/(𝑷𝒓𝒊𝒙 𝒑𝒓é𝒄𝒆𝒅𝒆𝒏𝒕)</a:t>
              </a:r>
              <a:r>
                <a:rPr lang="fr-FR" sz="1200" b="1"/>
                <a:t> x 100 </a:t>
              </a:r>
            </a:p>
          </xdr:txBody>
        </xdr:sp>
      </mc:Fallback>
    </mc:AlternateContent>
    <xdr:clientData/>
  </xdr:oneCellAnchor>
  <xdr:oneCellAnchor>
    <xdr:from>
      <xdr:col>1</xdr:col>
      <xdr:colOff>32734</xdr:colOff>
      <xdr:row>90</xdr:row>
      <xdr:rowOff>168275</xdr:rowOff>
    </xdr:from>
    <xdr:ext cx="4110642" cy="291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4659A4EC-2AD5-458C-8BF5-2113254292E4}"/>
                </a:ext>
              </a:extLst>
            </xdr:cNvPr>
            <xdr:cNvSpPr txBox="1"/>
          </xdr:nvSpPr>
          <xdr:spPr>
            <a:xfrm>
              <a:off x="1432909" y="31638875"/>
              <a:ext cx="4110642" cy="291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nor/>
                    </m:rPr>
                    <a:rPr lang="fr-FR" sz="1200" b="1"/>
                    <m:t>Part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des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produits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import</m:t>
                  </m:r>
                  <m:r>
                    <m:rPr>
                      <m:nor/>
                    </m:rPr>
                    <a:rPr lang="fr-FR" sz="1200" b="1" i="0"/>
                    <m:t>é</m:t>
                  </m:r>
                  <m:r>
                    <m:rPr>
                      <m:nor/>
                    </m:rPr>
                    <a:rPr lang="fr-FR" sz="1200" b="1"/>
                    <m:t>s</m:t>
                  </m:r>
                  <m:r>
                    <m:rPr>
                      <m:nor/>
                    </m:rPr>
                    <a:rPr lang="fr-FR" sz="1200" b="1" i="0"/>
                    <m:t> </m:t>
                  </m:r>
                  <m:r>
                    <m:rPr>
                      <m:nor/>
                    </m:rPr>
                    <a:rPr lang="fr-FR" sz="1200" b="1"/>
                    <m:t>(%)</m:t>
                  </m:r>
                  <m:r>
                    <a:rPr lang="fr-FR" sz="1200" b="1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fr-FR" sz="12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𝑽𝒂𝒍𝒆𝒖𝒓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𝒅𝒆𝒔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𝒑𝒓𝒐𝒅𝒖𝒊𝒕𝒔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𝒊𝒎𝒑𝒐𝒓𝒕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é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𝒔</m:t>
                      </m:r>
                    </m:num>
                    <m:den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𝑪𝒉𝒊𝒇𝒇𝒓𝒆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sSup>
                        <m:sSupPr>
                          <m:ctrlPr>
                            <a:rPr lang="fr-FR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fr-FR" sz="1200" b="1" i="1">
                              <a:latin typeface="Cambria Math" panose="02040503050406030204" pitchFamily="18" charset="0"/>
                            </a:rPr>
                            <m:t>𝒅</m:t>
                          </m:r>
                        </m:e>
                        <m:sup>
                          <m:r>
                            <a:rPr lang="fr-FR" sz="1200" b="1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𝒂𝒇𝒇𝒂𝒊𝒓𝒆𝒔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𝒕𝒐𝒕𝒂𝒍</m:t>
                      </m:r>
                    </m:den>
                  </m:f>
                </m:oMath>
              </a14:m>
              <a:r>
                <a:rPr lang="fr-FR" sz="1200" b="1"/>
                <a:t> x 100</a:t>
              </a:r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4659A4EC-2AD5-458C-8BF5-2113254292E4}"/>
                </a:ext>
              </a:extLst>
            </xdr:cNvPr>
            <xdr:cNvSpPr txBox="1"/>
          </xdr:nvSpPr>
          <xdr:spPr>
            <a:xfrm>
              <a:off x="1432909" y="31638875"/>
              <a:ext cx="4110642" cy="291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FR" sz="1200" b="1" i="0">
                  <a:latin typeface="Cambria Math" panose="02040503050406030204" pitchFamily="18" charset="0"/>
                </a:rPr>
                <a:t>"Part des produits importés (%)"=(𝑽𝒂𝒍𝒆𝒖𝒓 𝒅𝒆𝒔 𝒑𝒓𝒐𝒅𝒖𝒊𝒕𝒔 𝒊𝒎𝒑𝒐𝒓𝒕é𝒔)/(𝑪𝒉𝒊𝒇𝒇𝒓𝒆 𝒅^′ 𝒂𝒇𝒇𝒂𝒊𝒓𝒆𝒔 𝒕𝒐𝒕𝒂𝒍)</a:t>
              </a:r>
              <a:r>
                <a:rPr lang="fr-FR" sz="1200" b="1"/>
                <a:t> x 100</a:t>
              </a:r>
            </a:p>
          </xdr:txBody>
        </xdr:sp>
      </mc:Fallback>
    </mc:AlternateContent>
    <xdr:clientData/>
  </xdr:oneCellAnchor>
  <xdr:oneCellAnchor>
    <xdr:from>
      <xdr:col>1</xdr:col>
      <xdr:colOff>4159</xdr:colOff>
      <xdr:row>100</xdr:row>
      <xdr:rowOff>111125</xdr:rowOff>
    </xdr:from>
    <xdr:ext cx="4740657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5E485DC1-F85B-4D8B-A0EA-DABB246010A1}"/>
                </a:ext>
              </a:extLst>
            </xdr:cNvPr>
            <xdr:cNvSpPr txBox="1"/>
          </xdr:nvSpPr>
          <xdr:spPr>
            <a:xfrm>
              <a:off x="1404334" y="33486725"/>
              <a:ext cx="4740657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fr-FR" sz="1200" b="1"/>
                      <m:t>Delai</m:t>
                    </m:r>
                    <m:r>
                      <m:rPr>
                        <m:nor/>
                      </m:rPr>
                      <a:rPr lang="fr-FR" sz="1200" b="1"/>
                      <m:t> </m:t>
                    </m:r>
                    <m:r>
                      <m:rPr>
                        <m:nor/>
                      </m:rPr>
                      <a:rPr lang="fr-FR" sz="1200" b="1"/>
                      <m:t>moyen</m:t>
                    </m:r>
                    <m:r>
                      <m:rPr>
                        <m:nor/>
                      </m:rPr>
                      <a:rPr lang="fr-FR" sz="1200" b="1"/>
                      <m:t> </m:t>
                    </m:r>
                    <m:r>
                      <m:rPr>
                        <m:nor/>
                      </m:rPr>
                      <a:rPr lang="fr-FR" sz="1200" b="1"/>
                      <m:t>d</m:t>
                    </m:r>
                    <m:r>
                      <m:rPr>
                        <m:nor/>
                      </m:rPr>
                      <a:rPr lang="fr-FR" sz="1200" b="1"/>
                      <m:t>’</m:t>
                    </m:r>
                    <m:r>
                      <m:rPr>
                        <m:nor/>
                      </m:rPr>
                      <a:rPr lang="fr-FR" sz="1200" b="1"/>
                      <m:t>approvisionnement</m:t>
                    </m:r>
                    <m:r>
                      <a:rPr lang="fr-FR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𝑺𝒐𝒎𝒎𝒆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𝒅𝒆𝒔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𝒅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é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𝒍𝒂𝒊𝒔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𝒅𝒆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𝒍𝒊𝒗𝒓𝒂𝒊𝒔𝒐𝒏</m:t>
                        </m:r>
                      </m:num>
                      <m:den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𝑵𝒐𝒎𝒃𝒓𝒆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𝒅𝒆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𝒄𝒐𝒎𝒎𝒂𝒏𝒅𝒆</m:t>
                        </m:r>
                      </m:den>
                    </m:f>
                  </m:oMath>
                </m:oMathPara>
              </a14:m>
              <a:endParaRPr lang="fr-FR" sz="1200" b="1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5E485DC1-F85B-4D8B-A0EA-DABB246010A1}"/>
                </a:ext>
              </a:extLst>
            </xdr:cNvPr>
            <xdr:cNvSpPr txBox="1"/>
          </xdr:nvSpPr>
          <xdr:spPr>
            <a:xfrm>
              <a:off x="1404334" y="33486725"/>
              <a:ext cx="4740657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200" b="1" i="0">
                  <a:latin typeface="Cambria Math" panose="02040503050406030204" pitchFamily="18" charset="0"/>
                </a:rPr>
                <a:t>"Delai moyen d’approvisionnement"=(𝑺𝒐𝒎𝒎𝒆 𝒅𝒆𝒔 𝒅é𝒍𝒂𝒊𝒔 𝒅𝒆 𝒍𝒊𝒗𝒓𝒂𝒊𝒔𝒐𝒏)/(𝑵𝒐𝒎𝒃𝒓𝒆 𝒅𝒆 𝒄𝒐𝒎𝒎𝒂𝒏𝒅𝒆)</a:t>
              </a:r>
              <a:endParaRPr lang="fr-FR" sz="1200" b="1"/>
            </a:p>
          </xdr:txBody>
        </xdr:sp>
      </mc:Fallback>
    </mc:AlternateContent>
    <xdr:clientData/>
  </xdr:oneCellAnchor>
  <xdr:oneCellAnchor>
    <xdr:from>
      <xdr:col>1</xdr:col>
      <xdr:colOff>23209</xdr:colOff>
      <xdr:row>110</xdr:row>
      <xdr:rowOff>168275</xdr:rowOff>
    </xdr:from>
    <xdr:ext cx="4682141" cy="355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1276A977-D1E6-4AFA-88CD-3890F05A36ED}"/>
                </a:ext>
              </a:extLst>
            </xdr:cNvPr>
            <xdr:cNvSpPr txBox="1"/>
          </xdr:nvSpPr>
          <xdr:spPr>
            <a:xfrm>
              <a:off x="1423384" y="35448875"/>
              <a:ext cx="4682141" cy="355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m:rPr>
                      <m:nor/>
                    </m:rPr>
                    <a:rPr lang="fr-FR" sz="1200" b="1"/>
                    <m:t>Part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du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commerce</m:t>
                  </m:r>
                  <m:r>
                    <m:rPr>
                      <m:nor/>
                    </m:rPr>
                    <a:rPr lang="fr-FR" sz="1200" b="1"/>
                    <m:t> </m:t>
                  </m:r>
                  <m:r>
                    <m:rPr>
                      <m:nor/>
                    </m:rPr>
                    <a:rPr lang="fr-FR" sz="1200" b="1"/>
                    <m:t>formel</m:t>
                  </m:r>
                  <m:r>
                    <m:rPr>
                      <m:nor/>
                    </m:rPr>
                    <a:rPr lang="fr-FR" sz="1200" b="1" i="0"/>
                    <m:t> </m:t>
                  </m:r>
                  <m:r>
                    <m:rPr>
                      <m:nor/>
                    </m:rPr>
                    <a:rPr lang="fr-FR" sz="1200" b="1"/>
                    <m:t>(%)</m:t>
                  </m:r>
                  <m:r>
                    <a:rPr lang="fr-FR" sz="1200" b="1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fr-FR" sz="12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𝑹𝒆𝒄𝒆𝒕𝒕𝒆𝒔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𝒇𝒊𝒔𝒄𝒂𝒍𝒆𝒔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𝒄𝒐𝒎𝒎𝒆𝒓𝒄𝒊𝒂𝒍𝒆𝒔</m:t>
                      </m:r>
                    </m:num>
                    <m:den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𝑪𝒉𝒊𝒇𝒇𝒓𝒆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sSup>
                        <m:sSupPr>
                          <m:ctrlPr>
                            <a:rPr lang="fr-FR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fr-FR" sz="1200" b="1" i="1">
                              <a:latin typeface="Cambria Math" panose="02040503050406030204" pitchFamily="18" charset="0"/>
                            </a:rPr>
                            <m:t>𝒅</m:t>
                          </m:r>
                        </m:e>
                        <m:sup>
                          <m:r>
                            <a:rPr lang="fr-FR" sz="1200" b="1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𝒂𝒇𝒇𝒂𝒊𝒓𝒆𝒔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r-FR" sz="1200" b="1" i="1">
                          <a:latin typeface="Cambria Math" panose="02040503050406030204" pitchFamily="18" charset="0"/>
                        </a:rPr>
                        <m:t>𝒕𝒐𝒕𝒂𝒍</m:t>
                      </m:r>
                    </m:den>
                  </m:f>
                </m:oMath>
              </a14:m>
              <a:r>
                <a:rPr lang="fr-FR" sz="1200" b="1"/>
                <a:t>x 100</a:t>
              </a:r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1276A977-D1E6-4AFA-88CD-3890F05A36ED}"/>
                </a:ext>
              </a:extLst>
            </xdr:cNvPr>
            <xdr:cNvSpPr txBox="1"/>
          </xdr:nvSpPr>
          <xdr:spPr>
            <a:xfrm>
              <a:off x="1423384" y="35448875"/>
              <a:ext cx="4682141" cy="355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sz="1200" b="1" i="0">
                  <a:latin typeface="Cambria Math" panose="02040503050406030204" pitchFamily="18" charset="0"/>
                </a:rPr>
                <a:t>"Part du commerce formel (%)"=(𝑹𝒆𝒄𝒆𝒕𝒕𝒆𝒔 𝒇𝒊𝒔𝒄𝒂𝒍𝒆𝒔 𝒄𝒐𝒎𝒎𝒆𝒓𝒄𝒊𝒂𝒍𝒆𝒔)/(𝑪𝒉𝒊𝒇𝒇𝒓𝒆 𝒅^′ 𝒂𝒇𝒇𝒂𝒊𝒓𝒆𝒔 𝒕𝒐𝒕𝒂𝒍)</a:t>
              </a:r>
              <a:r>
                <a:rPr lang="fr-FR" sz="1200" b="1"/>
                <a:t>x 100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3674" cy="6448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590549</xdr:colOff>
      <xdr:row>0</xdr:row>
      <xdr:rowOff>0</xdr:rowOff>
    </xdr:from>
    <xdr:ext cx="6095581" cy="32194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CE841EE-4326-470D-8CB1-8452DCEE2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590549</xdr:colOff>
      <xdr:row>17</xdr:row>
      <xdr:rowOff>190499</xdr:rowOff>
    </xdr:from>
    <xdr:ext cx="6105525" cy="3019425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2CA65AD-0CC2-49E3-81C4-D9A934AE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questionnaire_data_with_detailed_kpi_dashboard_guinee.xlsx" TargetMode="External"/><Relationship Id="rId1" Type="http://schemas.openxmlformats.org/officeDocument/2006/relationships/externalLinkPath" Target="/Users/LENOVO/Downloads/questionnaire_data_with_detailed_kpi_dashboard_guin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"/>
      <sheetName val="Dashboard"/>
    </sheetNames>
    <sheetDataSet>
      <sheetData sheetId="0">
        <row r="2">
          <cell r="A2" t="str">
            <v>Croissance des ventes (%)</v>
          </cell>
          <cell r="F2" t="str">
            <v>12%</v>
          </cell>
        </row>
        <row r="3">
          <cell r="A3" t="str">
            <v>Marge brute</v>
          </cell>
          <cell r="F3" t="str">
            <v>150,000,000 GNF</v>
          </cell>
        </row>
        <row r="4">
          <cell r="A4" t="str">
            <v>Panier moyen</v>
          </cell>
          <cell r="F4" t="str">
            <v>120,000 GNF</v>
          </cell>
        </row>
        <row r="5">
          <cell r="A5" t="str">
            <v>Rotation des stocks</v>
          </cell>
          <cell r="F5" t="str">
            <v>6</v>
          </cell>
        </row>
        <row r="6">
          <cell r="A6" t="str">
            <v>Taux de rupture de stock (%)</v>
          </cell>
          <cell r="F6" t="str">
            <v>3%</v>
          </cell>
        </row>
        <row r="7">
          <cell r="A7" t="str">
            <v>Inflation / Évolution des prix (%)</v>
          </cell>
          <cell r="F7" t="str">
            <v>5%</v>
          </cell>
        </row>
        <row r="8">
          <cell r="A8" t="str">
            <v>Part des produits importés (%)</v>
          </cell>
          <cell r="F8" t="str">
            <v>55%</v>
          </cell>
        </row>
        <row r="9">
          <cell r="A9" t="str">
            <v>Délai moyen d'approvisionnement (jours)</v>
          </cell>
          <cell r="F9" t="str">
            <v>10 jours</v>
          </cell>
        </row>
        <row r="10">
          <cell r="A10" t="str">
            <v>Part du commerce formel (%)</v>
          </cell>
          <cell r="F10" t="str">
            <v>75%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43FEAE-3CFA-44C2-989A-801BA152E64D}" name="KPIDataTable" displayName="KPIDataTable" ref="A1:F11">
  <autoFilter ref="A1:F11" xr:uid="{9943FEAE-3CFA-44C2-989A-801BA152E64D}"/>
  <tableColumns count="6">
    <tableColumn id="1" xr3:uid="{A9E13826-8FFB-4964-A9A0-91D4403D6BC5}" name="Chiffre d'affaires"/>
    <tableColumn id="2" xr3:uid="{3CFB0C66-C0B8-478E-8A6F-0EF9869BD63B}" name="Total des ventes réalisées sur une période donnée."/>
    <tableColumn id="3" xr3:uid="{940A3709-FD59-486A-BEFC-81F14798DEDA}" name="Agrégation par somme des ventes réalisées."/>
    <tableColumn id="4" xr3:uid="{06C52420-CA67-4A50-8AF7-FCDF2FC1CF5F}" name="#NOM?"/>
    <tableColumn id="5" xr3:uid="{E7259A8C-D792-48CE-90B0-BCDEAF18D321}" name="300,000,000 GNF"/>
    <tableColumn id="6" xr3:uid="{FF293BF5-65A1-4934-A6AB-A0D0CC04450F}" name="500,000,000 GNF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926B57-CB18-497C-934F-358DCEAD23F8}" name="Tableau2" displayName="Tableau2" ref="B1:E11" totalsRowShown="0" headerRowDxfId="22" headerRowBorderDxfId="21" tableBorderDxfId="20">
  <autoFilter ref="B1:E11" xr:uid="{56926B57-CB18-497C-934F-358DCEAD23F8}"/>
  <tableColumns count="4">
    <tableColumn id="1" xr3:uid="{C28BBDFF-6F1D-45FE-BCC9-7ADE17BFA618}" name="KPI"/>
    <tableColumn id="2" xr3:uid="{1295B094-0C98-4123-8CF5-CD4D48220218}" name="Définition"/>
    <tableColumn id="3" xr3:uid="{3495F67F-EE6C-4962-AFE8-C300ACF1A906}" name="Formule" dataDxfId="19"/>
    <tableColumn id="4" xr3:uid="{ADDA935D-3B83-4DDC-A745-0377562B7610}" name="Source de donné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F2365-A7F1-4E28-A424-6E6C3C56129E}" name="Tableau1" displayName="Tableau1" ref="B1:S50" totalsRowShown="0" headerRowDxfId="18" headerRowBorderDxfId="17" tableBorderDxfId="16">
  <autoFilter ref="B1:S50" xr:uid="{1D5F2365-A7F1-4E28-A424-6E6C3C56129E}"/>
  <tableColumns count="18">
    <tableColumn id="1" xr3:uid="{D89EDF18-25B4-40CE-A897-09BD68FA085C}" name="Nom de l'entreprise"/>
    <tableColumn id="2" xr3:uid="{CA2DD87E-F0E0-4F28-BA4C-2DB3ACC47902}" name="Secteur d'activité"/>
    <tableColumn id="3" xr3:uid="{A28B95F3-9DC5-4CE8-B690-19D7DEF28B01}" name="Localisation de l'entreprise" dataDxfId="15"/>
    <tableColumn id="4" xr3:uid="{12D346AD-ED7C-4336-ADCC-FBC9CBBBD185}" name="Type de commerce" dataDxfId="14"/>
    <tableColumn id="5" xr3:uid="{EFFC47F5-142E-4C66-B9AA-E2EF061E8FCC}" name="Année de création" dataDxfId="13"/>
    <tableColumn id="6" xr3:uid="{C3F38092-3E95-4EFA-9F71-3A1CE3A2C240}" name="Chiffre d'affaires (total)" dataDxfId="12" dataCellStyle="Milliers"/>
    <tableColumn id="7" xr3:uid="{BEF0A2AD-C23C-4AFC-896E-0B8AC23B3D2B}" name="Croissance des ventes (%)" dataDxfId="11" dataCellStyle="Milliers"/>
    <tableColumn id="8" xr3:uid="{08CF8489-597B-4E2E-8F1B-46EFCB1B90DD}" name="Marge brute" dataDxfId="10" dataCellStyle="Milliers"/>
    <tableColumn id="9" xr3:uid="{A6231E7E-B735-4BDE-A9F1-2A05CCE2AF1F}" name="Panier moyen" dataDxfId="9" dataCellStyle="Milliers"/>
    <tableColumn id="10" xr3:uid="{03CD575C-6FFE-4DCA-9170-8F93CFF66213}" name="Rotation des stocks" dataDxfId="8"/>
    <tableColumn id="11" xr3:uid="{86B1A4ED-A1F8-4343-A926-E46F3C8A12B4}" name="Taux de rupture de stock (%)" dataDxfId="7"/>
    <tableColumn id="12" xr3:uid="{2C6C332B-0EB1-48BC-96AE-70A64CF65DB0}" name="Inflation / Évolution des prix (%)" dataDxfId="6"/>
    <tableColumn id="13" xr3:uid="{E0106F59-133C-45B6-B879-BCC70B2B8C26}" name="Part des produits importés (%)" dataDxfId="5"/>
    <tableColumn id="14" xr3:uid="{23B4A911-07B6-4EAA-9E09-A0FFF161E56F}" name="Délai moyen d'approvisionnement (jours)" dataDxfId="4"/>
    <tableColumn id="15" xr3:uid="{6CD28ADF-17FA-40ED-9BEF-CC00AF4923B8}" name="Part du commerce formel / Recettes fiscales commerciales (%)" dataDxfId="3"/>
    <tableColumn id="16" xr3:uid="{B7DFA6D4-53D3-4E4E-950E-2CBB862FE644}" name="Difficultés rencontrées dans le suivi des performances" dataDxfId="2"/>
    <tableColumn id="17" xr3:uid="{CEDC5A47-C8E4-4653-B279-A2927243E9D0}" name="Stratégies pour améliorer ventes et marges" dataDxfId="1"/>
    <tableColumn id="18" xr3:uid="{8ADB1225-95A7-4F9F-8370-4907140ACBD2}" name="Informations supplémentaires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9BC29C-3FA6-47E2-9177-03E87B4F8BD5}" name="KPIDataTable5" displayName="KPIDataTable5" ref="A1:F11">
  <autoFilter ref="A1:F11" xr:uid="{E29BC29C-3FA6-47E2-9177-03E87B4F8BD5}"/>
  <tableColumns count="6">
    <tableColumn id="1" xr3:uid="{2962F3E4-3B5F-4B92-AC8F-0648CB3100D0}" name="Chiffre d'affaires"/>
    <tableColumn id="2" xr3:uid="{56409D38-8697-4339-BDEA-4B094EF9D9A4}" name="Total des ventes réalisées sur une période donnée."/>
    <tableColumn id="3" xr3:uid="{6752A02B-421A-44F8-94D5-C77ABD3EA968}" name="Agrégation par somme des ventes réalisées."/>
    <tableColumn id="4" xr3:uid="{363A13EF-C5DB-4A9F-A503-EC95E5A48901}" name="Colonne1"/>
    <tableColumn id="5" xr3:uid="{AD9A7A95-4989-4CF2-9D9B-E65CE40953A9}" name="300,000,000 GNF"/>
    <tableColumn id="6" xr3:uid="{A3CF01CC-0F16-42E0-AC28-4C10B4979BEF}" name="500,000,000 GN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D1AF-BAE1-4749-BD52-F063C0B4B6D2}">
  <dimension ref="A1:F148"/>
  <sheetViews>
    <sheetView topLeftCell="A83" zoomScale="145" zoomScaleNormal="145" workbookViewId="0">
      <selection activeCell="A54" sqref="A54"/>
    </sheetView>
  </sheetViews>
  <sheetFormatPr baseColWidth="10" defaultRowHeight="15" x14ac:dyDescent="0.25"/>
  <cols>
    <col min="1" max="1" width="40" customWidth="1"/>
    <col min="2" max="2" width="68.85546875" bestFit="1" customWidth="1"/>
    <col min="3" max="3" width="81.42578125" bestFit="1" customWidth="1"/>
    <col min="4" max="4" width="12.140625" bestFit="1" customWidth="1"/>
    <col min="5" max="6" width="17.5703125" bestFit="1" customWidth="1"/>
  </cols>
  <sheetData>
    <row r="1" spans="1:6" x14ac:dyDescent="0.25">
      <c r="A1" t="s">
        <v>23</v>
      </c>
      <c r="B1" t="s">
        <v>121</v>
      </c>
      <c r="C1" t="s">
        <v>122</v>
      </c>
      <c r="D1" t="s">
        <v>162</v>
      </c>
      <c r="E1" t="s">
        <v>123</v>
      </c>
      <c r="F1" t="s">
        <v>124</v>
      </c>
    </row>
    <row r="2" spans="1:6" x14ac:dyDescent="0.25">
      <c r="A2" t="s">
        <v>6</v>
      </c>
      <c r="B2" t="s">
        <v>125</v>
      </c>
      <c r="C2" t="s">
        <v>126</v>
      </c>
      <c r="D2" t="e">
        <f>(CA actuel - CA précédent) / CA précédent * 100</f>
        <v>#NAME?</v>
      </c>
      <c r="E2" t="s">
        <v>127</v>
      </c>
      <c r="F2" t="s">
        <v>128</v>
      </c>
    </row>
    <row r="3" spans="1:6" x14ac:dyDescent="0.25">
      <c r="A3" t="s">
        <v>7</v>
      </c>
      <c r="B3" t="s">
        <v>129</v>
      </c>
      <c r="C3" t="s">
        <v>130</v>
      </c>
      <c r="E3" t="s">
        <v>131</v>
      </c>
      <c r="F3" t="s">
        <v>132</v>
      </c>
    </row>
    <row r="4" spans="1:6" x14ac:dyDescent="0.25">
      <c r="A4" t="s">
        <v>8</v>
      </c>
      <c r="B4" t="s">
        <v>133</v>
      </c>
      <c r="C4" t="s">
        <v>134</v>
      </c>
      <c r="E4" t="s">
        <v>135</v>
      </c>
      <c r="F4" t="s">
        <v>136</v>
      </c>
    </row>
    <row r="5" spans="1:6" x14ac:dyDescent="0.25">
      <c r="A5" t="s">
        <v>9</v>
      </c>
      <c r="B5" t="s">
        <v>137</v>
      </c>
      <c r="C5" t="s">
        <v>138</v>
      </c>
      <c r="D5" t="e">
        <f>Coût des Ventes / Stock moyen</f>
        <v>#NAME?</v>
      </c>
      <c r="E5" t="s">
        <v>139</v>
      </c>
      <c r="F5" t="s">
        <v>140</v>
      </c>
    </row>
    <row r="6" spans="1:6" x14ac:dyDescent="0.25">
      <c r="A6" t="s">
        <v>10</v>
      </c>
      <c r="B6" t="s">
        <v>141</v>
      </c>
      <c r="C6" t="s">
        <v>142</v>
      </c>
      <c r="D6" t="e">
        <f>Stock en rupture / Stock total * 100</f>
        <v>#NAME?</v>
      </c>
      <c r="E6" t="s">
        <v>143</v>
      </c>
      <c r="F6" t="s">
        <v>144</v>
      </c>
    </row>
    <row r="7" spans="1:6" x14ac:dyDescent="0.25">
      <c r="A7" t="s">
        <v>11</v>
      </c>
      <c r="B7" t="s">
        <v>145</v>
      </c>
      <c r="C7" t="s">
        <v>146</v>
      </c>
      <c r="D7" t="e">
        <f>(Prix actuel - Prix précédent) / Prix précédent * 100</f>
        <v>#NAME?</v>
      </c>
      <c r="E7" t="s">
        <v>147</v>
      </c>
      <c r="F7" t="s">
        <v>143</v>
      </c>
    </row>
    <row r="8" spans="1:6" x14ac:dyDescent="0.25">
      <c r="A8" t="s">
        <v>12</v>
      </c>
      <c r="B8" t="s">
        <v>148</v>
      </c>
      <c r="C8" t="s">
        <v>149</v>
      </c>
      <c r="E8" t="s">
        <v>150</v>
      </c>
      <c r="F8" t="s">
        <v>151</v>
      </c>
    </row>
    <row r="9" spans="1:6" x14ac:dyDescent="0.25">
      <c r="A9" t="s">
        <v>13</v>
      </c>
      <c r="B9" t="s">
        <v>152</v>
      </c>
      <c r="C9" t="s">
        <v>153</v>
      </c>
      <c r="D9" t="e">
        <f>SOMME des délais de livraison / Nombre de commandes</f>
        <v>#NAME?</v>
      </c>
      <c r="E9" t="s">
        <v>154</v>
      </c>
      <c r="F9" t="s">
        <v>155</v>
      </c>
    </row>
    <row r="10" spans="1:6" x14ac:dyDescent="0.25">
      <c r="A10" t="s">
        <v>156</v>
      </c>
      <c r="B10" t="s">
        <v>157</v>
      </c>
      <c r="C10" t="s">
        <v>158</v>
      </c>
      <c r="E10" t="s">
        <v>159</v>
      </c>
      <c r="F10" t="s">
        <v>160</v>
      </c>
    </row>
    <row r="12" spans="1:6" x14ac:dyDescent="0.25">
      <c r="A12" s="6" t="s">
        <v>161</v>
      </c>
    </row>
    <row r="14" spans="1:6" ht="18" x14ac:dyDescent="0.25">
      <c r="A14" s="4" t="s">
        <v>68</v>
      </c>
    </row>
    <row r="15" spans="1:6" x14ac:dyDescent="0.25">
      <c r="A15" s="5"/>
    </row>
    <row r="16" spans="1:6" x14ac:dyDescent="0.25">
      <c r="A16" s="7" t="s">
        <v>69</v>
      </c>
    </row>
    <row r="17" spans="1:1" x14ac:dyDescent="0.25">
      <c r="A17" s="5"/>
    </row>
    <row r="18" spans="1:1" x14ac:dyDescent="0.25">
      <c r="A18" s="7" t="s">
        <v>70</v>
      </c>
    </row>
    <row r="19" spans="1:1" x14ac:dyDescent="0.25">
      <c r="A19" s="15"/>
    </row>
    <row r="20" spans="1:1" x14ac:dyDescent="0.25">
      <c r="A20" s="15" t="s">
        <v>71</v>
      </c>
    </row>
    <row r="21" spans="1:1" x14ac:dyDescent="0.25">
      <c r="A21" s="15"/>
    </row>
    <row r="22" spans="1:1" x14ac:dyDescent="0.25">
      <c r="A22" s="15" t="s">
        <v>72</v>
      </c>
    </row>
    <row r="24" spans="1:1" ht="18" x14ac:dyDescent="0.25">
      <c r="A24" s="4" t="s">
        <v>73</v>
      </c>
    </row>
    <row r="25" spans="1:1" x14ac:dyDescent="0.25">
      <c r="A25" s="5"/>
    </row>
    <row r="26" spans="1:1" ht="15.75" x14ac:dyDescent="0.25">
      <c r="A26" s="18" t="s">
        <v>115</v>
      </c>
    </row>
    <row r="27" spans="1:1" x14ac:dyDescent="0.25">
      <c r="A27" s="5"/>
    </row>
    <row r="28" spans="1:1" x14ac:dyDescent="0.25">
      <c r="A28" s="7" t="s">
        <v>70</v>
      </c>
    </row>
    <row r="29" spans="1:1" x14ac:dyDescent="0.25">
      <c r="A29" s="15"/>
    </row>
    <row r="30" spans="1:1" x14ac:dyDescent="0.25">
      <c r="A30" s="15" t="s">
        <v>74</v>
      </c>
    </row>
    <row r="31" spans="1:1" x14ac:dyDescent="0.25">
      <c r="A31" s="15"/>
    </row>
    <row r="32" spans="1:1" x14ac:dyDescent="0.25">
      <c r="A32" s="16" t="s">
        <v>114</v>
      </c>
    </row>
    <row r="34" spans="1:1" ht="18" x14ac:dyDescent="0.25">
      <c r="A34" s="4" t="s">
        <v>75</v>
      </c>
    </row>
    <row r="35" spans="1:1" x14ac:dyDescent="0.25">
      <c r="A35" s="5"/>
    </row>
    <row r="36" spans="1:1" ht="15.75" x14ac:dyDescent="0.25">
      <c r="A36" s="18" t="s">
        <v>116</v>
      </c>
    </row>
    <row r="37" spans="1:1" x14ac:dyDescent="0.25">
      <c r="A37" s="5"/>
    </row>
    <row r="38" spans="1:1" x14ac:dyDescent="0.25">
      <c r="A38" s="7" t="s">
        <v>70</v>
      </c>
    </row>
    <row r="39" spans="1:1" x14ac:dyDescent="0.25">
      <c r="A39" s="15"/>
    </row>
    <row r="40" spans="1:1" x14ac:dyDescent="0.25">
      <c r="A40" s="15" t="s">
        <v>76</v>
      </c>
    </row>
    <row r="41" spans="1:1" x14ac:dyDescent="0.25">
      <c r="A41" s="15"/>
    </row>
    <row r="42" spans="1:1" x14ac:dyDescent="0.25">
      <c r="A42" s="16" t="s">
        <v>77</v>
      </c>
    </row>
    <row r="44" spans="1:1" ht="18" x14ac:dyDescent="0.25">
      <c r="A44" s="4" t="s">
        <v>78</v>
      </c>
    </row>
    <row r="45" spans="1:1" x14ac:dyDescent="0.25">
      <c r="A45" s="5"/>
    </row>
    <row r="46" spans="1:1" ht="15.75" x14ac:dyDescent="0.25">
      <c r="A46" s="18" t="s">
        <v>117</v>
      </c>
    </row>
    <row r="47" spans="1:1" x14ac:dyDescent="0.25">
      <c r="A47" s="5"/>
    </row>
    <row r="48" spans="1:1" x14ac:dyDescent="0.25">
      <c r="A48" s="7" t="s">
        <v>70</v>
      </c>
    </row>
    <row r="49" spans="1:1" x14ac:dyDescent="0.25">
      <c r="A49" s="15"/>
    </row>
    <row r="50" spans="1:1" x14ac:dyDescent="0.25">
      <c r="A50" s="15" t="s">
        <v>79</v>
      </c>
    </row>
    <row r="51" spans="1:1" x14ac:dyDescent="0.25">
      <c r="A51" s="15"/>
    </row>
    <row r="52" spans="1:1" x14ac:dyDescent="0.25">
      <c r="A52" s="16" t="s">
        <v>114</v>
      </c>
    </row>
    <row r="54" spans="1:1" ht="18" x14ac:dyDescent="0.25">
      <c r="A54" s="4" t="s">
        <v>80</v>
      </c>
    </row>
    <row r="55" spans="1:1" x14ac:dyDescent="0.25">
      <c r="A55" s="5"/>
    </row>
    <row r="56" spans="1:1" ht="15.75" x14ac:dyDescent="0.25">
      <c r="A56" s="18" t="s">
        <v>118</v>
      </c>
    </row>
    <row r="57" spans="1:1" x14ac:dyDescent="0.25">
      <c r="A57" s="5"/>
    </row>
    <row r="58" spans="1:1" x14ac:dyDescent="0.25">
      <c r="A58" s="7" t="s">
        <v>70</v>
      </c>
    </row>
    <row r="59" spans="1:1" x14ac:dyDescent="0.25">
      <c r="A59" s="15"/>
    </row>
    <row r="60" spans="1:1" x14ac:dyDescent="0.25">
      <c r="A60" s="15" t="s">
        <v>81</v>
      </c>
    </row>
    <row r="61" spans="1:1" x14ac:dyDescent="0.25">
      <c r="A61" s="15"/>
    </row>
    <row r="62" spans="1:1" x14ac:dyDescent="0.25">
      <c r="A62" s="16" t="s">
        <v>119</v>
      </c>
    </row>
    <row r="64" spans="1:1" ht="18" x14ac:dyDescent="0.25">
      <c r="A64" s="4" t="s">
        <v>82</v>
      </c>
    </row>
    <row r="65" spans="1:1" x14ac:dyDescent="0.25">
      <c r="A65" s="5"/>
    </row>
    <row r="66" spans="1:1" x14ac:dyDescent="0.25">
      <c r="A66" s="7" t="s">
        <v>83</v>
      </c>
    </row>
    <row r="67" spans="1:1" x14ac:dyDescent="0.25">
      <c r="A67" s="5"/>
    </row>
    <row r="68" spans="1:1" x14ac:dyDescent="0.25">
      <c r="A68" s="7" t="s">
        <v>70</v>
      </c>
    </row>
    <row r="69" spans="1:1" x14ac:dyDescent="0.25">
      <c r="A69" s="15"/>
    </row>
    <row r="70" spans="1:1" x14ac:dyDescent="0.25">
      <c r="A70" s="16" t="s">
        <v>84</v>
      </c>
    </row>
    <row r="71" spans="1:1" x14ac:dyDescent="0.25">
      <c r="A71" s="15"/>
    </row>
    <row r="72" spans="1:1" x14ac:dyDescent="0.25">
      <c r="A72" s="16" t="s">
        <v>119</v>
      </c>
    </row>
    <row r="74" spans="1:1" ht="18" x14ac:dyDescent="0.25">
      <c r="A74" s="4" t="s">
        <v>85</v>
      </c>
    </row>
    <row r="75" spans="1:1" x14ac:dyDescent="0.25">
      <c r="A75" s="5"/>
    </row>
    <row r="76" spans="1:1" ht="15.75" x14ac:dyDescent="0.25">
      <c r="A76" s="18" t="s">
        <v>120</v>
      </c>
    </row>
    <row r="77" spans="1:1" x14ac:dyDescent="0.25">
      <c r="A77" s="5"/>
    </row>
    <row r="78" spans="1:1" x14ac:dyDescent="0.25">
      <c r="A78" s="7" t="s">
        <v>70</v>
      </c>
    </row>
    <row r="79" spans="1:1" x14ac:dyDescent="0.25">
      <c r="A79" s="15"/>
    </row>
    <row r="80" spans="1:1" x14ac:dyDescent="0.25">
      <c r="A80" s="15" t="s">
        <v>86</v>
      </c>
    </row>
    <row r="81" spans="1:1" x14ac:dyDescent="0.25">
      <c r="A81" s="15"/>
    </row>
    <row r="82" spans="1:1" x14ac:dyDescent="0.25">
      <c r="A82" s="15" t="s">
        <v>119</v>
      </c>
    </row>
    <row r="84" spans="1:1" ht="18" x14ac:dyDescent="0.25">
      <c r="A84" s="4" t="s">
        <v>87</v>
      </c>
    </row>
    <row r="85" spans="1:1" x14ac:dyDescent="0.25">
      <c r="A85" s="5"/>
    </row>
    <row r="86" spans="1:1" x14ac:dyDescent="0.25">
      <c r="A86" s="7" t="s">
        <v>88</v>
      </c>
    </row>
    <row r="87" spans="1:1" x14ac:dyDescent="0.25">
      <c r="A87" s="5"/>
    </row>
    <row r="88" spans="1:1" x14ac:dyDescent="0.25">
      <c r="A88" s="7" t="s">
        <v>70</v>
      </c>
    </row>
    <row r="89" spans="1:1" x14ac:dyDescent="0.25">
      <c r="A89" s="15"/>
    </row>
    <row r="90" spans="1:1" x14ac:dyDescent="0.25">
      <c r="A90" s="15" t="s">
        <v>89</v>
      </c>
    </row>
    <row r="91" spans="1:1" x14ac:dyDescent="0.25">
      <c r="A91" s="15"/>
    </row>
    <row r="92" spans="1:1" x14ac:dyDescent="0.25">
      <c r="A92" s="16" t="s">
        <v>114</v>
      </c>
    </row>
    <row r="94" spans="1:1" ht="18" x14ac:dyDescent="0.25">
      <c r="A94" s="4" t="s">
        <v>90</v>
      </c>
    </row>
    <row r="95" spans="1:1" x14ac:dyDescent="0.25">
      <c r="A95" s="5"/>
    </row>
    <row r="96" spans="1:1" x14ac:dyDescent="0.25">
      <c r="A96" s="7" t="s">
        <v>91</v>
      </c>
    </row>
    <row r="97" spans="1:1" x14ac:dyDescent="0.25">
      <c r="A97" s="5"/>
    </row>
    <row r="98" spans="1:1" x14ac:dyDescent="0.25">
      <c r="A98" s="7" t="s">
        <v>70</v>
      </c>
    </row>
    <row r="99" spans="1:1" x14ac:dyDescent="0.25">
      <c r="A99" s="15"/>
    </row>
    <row r="100" spans="1:1" x14ac:dyDescent="0.25">
      <c r="A100" s="15" t="s">
        <v>92</v>
      </c>
    </row>
    <row r="101" spans="1:1" x14ac:dyDescent="0.25">
      <c r="A101" s="15"/>
    </row>
    <row r="102" spans="1:1" x14ac:dyDescent="0.25">
      <c r="A102" s="16" t="s">
        <v>119</v>
      </c>
    </row>
    <row r="104" spans="1:1" ht="18" x14ac:dyDescent="0.25">
      <c r="A104" s="4" t="s">
        <v>93</v>
      </c>
    </row>
    <row r="105" spans="1:1" x14ac:dyDescent="0.25">
      <c r="A105" s="5"/>
    </row>
    <row r="106" spans="1:1" x14ac:dyDescent="0.25">
      <c r="A106" s="7" t="s">
        <v>94</v>
      </c>
    </row>
    <row r="107" spans="1:1" x14ac:dyDescent="0.25">
      <c r="A107" s="5"/>
    </row>
    <row r="108" spans="1:1" x14ac:dyDescent="0.25">
      <c r="A108" s="7" t="s">
        <v>70</v>
      </c>
    </row>
    <row r="109" spans="1:1" x14ac:dyDescent="0.25">
      <c r="A109" s="15"/>
    </row>
    <row r="110" spans="1:1" x14ac:dyDescent="0.25">
      <c r="A110" s="15" t="s">
        <v>95</v>
      </c>
    </row>
    <row r="111" spans="1:1" x14ac:dyDescent="0.25">
      <c r="A111" s="15"/>
    </row>
    <row r="112" spans="1:1" x14ac:dyDescent="0.25">
      <c r="A112" s="15" t="s">
        <v>114</v>
      </c>
    </row>
    <row r="114" spans="1:1" ht="23.25" x14ac:dyDescent="0.25">
      <c r="A114" s="17" t="s">
        <v>96</v>
      </c>
    </row>
    <row r="115" spans="1:1" x14ac:dyDescent="0.25">
      <c r="A115" s="5"/>
    </row>
    <row r="116" spans="1:1" x14ac:dyDescent="0.25">
      <c r="A116" s="7" t="s">
        <v>97</v>
      </c>
    </row>
    <row r="117" spans="1:1" x14ac:dyDescent="0.25">
      <c r="A117" s="15"/>
    </row>
    <row r="118" spans="1:1" x14ac:dyDescent="0.25">
      <c r="A118" s="15" t="s">
        <v>98</v>
      </c>
    </row>
    <row r="119" spans="1:1" x14ac:dyDescent="0.25">
      <c r="A119" s="15"/>
    </row>
    <row r="120" spans="1:1" x14ac:dyDescent="0.25">
      <c r="A120" s="15" t="s">
        <v>99</v>
      </c>
    </row>
    <row r="121" spans="1:1" x14ac:dyDescent="0.25">
      <c r="A121" s="5"/>
    </row>
    <row r="122" spans="1:1" x14ac:dyDescent="0.25">
      <c r="A122" s="7" t="s">
        <v>100</v>
      </c>
    </row>
    <row r="123" spans="1:1" x14ac:dyDescent="0.25">
      <c r="A123" s="15"/>
    </row>
    <row r="124" spans="1:1" x14ac:dyDescent="0.25">
      <c r="A124" s="15" t="s">
        <v>101</v>
      </c>
    </row>
    <row r="125" spans="1:1" x14ac:dyDescent="0.25">
      <c r="A125" s="15"/>
    </row>
    <row r="126" spans="1:1" x14ac:dyDescent="0.25">
      <c r="A126" s="15" t="s">
        <v>102</v>
      </c>
    </row>
    <row r="127" spans="1:1" x14ac:dyDescent="0.25">
      <c r="A127" s="5"/>
    </row>
    <row r="128" spans="1:1" x14ac:dyDescent="0.25">
      <c r="A128" s="7" t="s">
        <v>103</v>
      </c>
    </row>
    <row r="129" spans="1:1" x14ac:dyDescent="0.25">
      <c r="A129" s="15"/>
    </row>
    <row r="130" spans="1:1" x14ac:dyDescent="0.25">
      <c r="A130" s="15" t="s">
        <v>104</v>
      </c>
    </row>
    <row r="131" spans="1:1" x14ac:dyDescent="0.25">
      <c r="A131" s="5"/>
    </row>
    <row r="132" spans="1:1" x14ac:dyDescent="0.25">
      <c r="A132" s="7" t="s">
        <v>105</v>
      </c>
    </row>
    <row r="133" spans="1:1" x14ac:dyDescent="0.25">
      <c r="A133" s="15"/>
    </row>
    <row r="134" spans="1:1" x14ac:dyDescent="0.25">
      <c r="A134" s="15" t="s">
        <v>106</v>
      </c>
    </row>
    <row r="135" spans="1:1" x14ac:dyDescent="0.25">
      <c r="A135" s="5"/>
    </row>
    <row r="136" spans="1:1" x14ac:dyDescent="0.25">
      <c r="A136" s="7" t="s">
        <v>107</v>
      </c>
    </row>
    <row r="137" spans="1:1" x14ac:dyDescent="0.25">
      <c r="A137" s="15"/>
    </row>
    <row r="138" spans="1:1" x14ac:dyDescent="0.25">
      <c r="A138" s="15" t="s">
        <v>108</v>
      </c>
    </row>
    <row r="140" spans="1:1" ht="18" x14ac:dyDescent="0.25">
      <c r="A140" s="4" t="s">
        <v>109</v>
      </c>
    </row>
    <row r="141" spans="1:1" x14ac:dyDescent="0.25">
      <c r="A141" s="5"/>
    </row>
    <row r="142" spans="1:1" x14ac:dyDescent="0.25">
      <c r="A142" s="7" t="s">
        <v>110</v>
      </c>
    </row>
    <row r="143" spans="1:1" x14ac:dyDescent="0.25">
      <c r="A143" s="5"/>
    </row>
    <row r="144" spans="1:1" x14ac:dyDescent="0.25">
      <c r="A144" s="7" t="s">
        <v>111</v>
      </c>
    </row>
    <row r="145" spans="1:1" x14ac:dyDescent="0.25">
      <c r="A145" s="5"/>
    </row>
    <row r="146" spans="1:1" x14ac:dyDescent="0.25">
      <c r="A146" s="7" t="s">
        <v>112</v>
      </c>
    </row>
    <row r="147" spans="1:1" x14ac:dyDescent="0.25">
      <c r="A147" s="5"/>
    </row>
    <row r="148" spans="1:1" x14ac:dyDescent="0.25">
      <c r="A148" s="7" t="s">
        <v>113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3E63-DE84-4491-A915-DE8BE4CC0B9F}">
  <dimension ref="B1:E11"/>
  <sheetViews>
    <sheetView zoomScale="130" zoomScaleNormal="130" workbookViewId="0">
      <selection activeCell="B2" sqref="B2:E11"/>
    </sheetView>
  </sheetViews>
  <sheetFormatPr baseColWidth="10" defaultRowHeight="15" x14ac:dyDescent="0.25"/>
  <cols>
    <col min="2" max="2" width="53.7109375" bestFit="1" customWidth="1"/>
    <col min="3" max="3" width="84.42578125" bestFit="1" customWidth="1"/>
    <col min="4" max="4" width="13" bestFit="1" customWidth="1"/>
    <col min="5" max="5" width="47.7109375" bestFit="1" customWidth="1"/>
  </cols>
  <sheetData>
    <row r="1" spans="2:5" x14ac:dyDescent="0.25">
      <c r="B1" s="1" t="s">
        <v>19</v>
      </c>
      <c r="C1" s="1" t="s">
        <v>20</v>
      </c>
      <c r="D1" s="1" t="s">
        <v>21</v>
      </c>
      <c r="E1" s="1" t="s">
        <v>22</v>
      </c>
    </row>
    <row r="2" spans="2:5" x14ac:dyDescent="0.25">
      <c r="B2" t="s">
        <v>23</v>
      </c>
      <c r="C2" t="s">
        <v>24</v>
      </c>
      <c r="D2" s="2" t="e">
        <f>SUM(Ventes)</f>
        <v>#NAME?</v>
      </c>
      <c r="E2" t="s">
        <v>25</v>
      </c>
    </row>
    <row r="3" spans="2:5" x14ac:dyDescent="0.25">
      <c r="B3" t="s">
        <v>26</v>
      </c>
      <c r="C3" t="s">
        <v>27</v>
      </c>
      <c r="D3" s="2">
        <v>0</v>
      </c>
      <c r="E3" t="s">
        <v>28</v>
      </c>
    </row>
    <row r="4" spans="2:5" x14ac:dyDescent="0.25">
      <c r="B4" t="s">
        <v>7</v>
      </c>
      <c r="C4" t="s">
        <v>29</v>
      </c>
      <c r="D4" s="2">
        <v>0</v>
      </c>
      <c r="E4" t="s">
        <v>30</v>
      </c>
    </row>
    <row r="5" spans="2:5" x14ac:dyDescent="0.25">
      <c r="B5" t="s">
        <v>8</v>
      </c>
      <c r="C5" t="s">
        <v>31</v>
      </c>
      <c r="D5" s="2">
        <v>0</v>
      </c>
      <c r="E5" t="s">
        <v>25</v>
      </c>
    </row>
    <row r="6" spans="2:5" x14ac:dyDescent="0.25">
      <c r="B6" t="s">
        <v>9</v>
      </c>
      <c r="C6" t="s">
        <v>32</v>
      </c>
      <c r="D6" s="2" t="e">
        <f>(Coût des Ventes) / Stock moyen</f>
        <v>#NAME?</v>
      </c>
      <c r="E6" t="s">
        <v>33</v>
      </c>
    </row>
    <row r="7" spans="2:5" x14ac:dyDescent="0.25">
      <c r="B7" t="s">
        <v>34</v>
      </c>
      <c r="C7" t="s">
        <v>35</v>
      </c>
      <c r="D7" s="2" t="e">
        <f>(Stock en rupture) / Stock total</f>
        <v>#NAME?</v>
      </c>
      <c r="E7" t="s">
        <v>36</v>
      </c>
    </row>
    <row r="8" spans="2:5" x14ac:dyDescent="0.25">
      <c r="B8" t="s">
        <v>37</v>
      </c>
      <c r="C8" t="s">
        <v>38</v>
      </c>
      <c r="D8" s="2" t="e">
        <f>(Prix période actuelle - Prix période précédente) / Prix période précédente * 100</f>
        <v>#NAME?</v>
      </c>
      <c r="E8" t="s">
        <v>39</v>
      </c>
    </row>
    <row r="9" spans="2:5" x14ac:dyDescent="0.25">
      <c r="B9" t="s">
        <v>40</v>
      </c>
      <c r="C9" t="s">
        <v>41</v>
      </c>
      <c r="D9" s="2">
        <v>0</v>
      </c>
      <c r="E9" t="s">
        <v>30</v>
      </c>
    </row>
    <row r="10" spans="2:5" x14ac:dyDescent="0.25">
      <c r="B10" t="s">
        <v>42</v>
      </c>
      <c r="C10" t="s">
        <v>43</v>
      </c>
      <c r="D10" s="2" t="e">
        <f>(Délai de livraison total) / Nombre de commandes</f>
        <v>#NAME?</v>
      </c>
      <c r="E10" t="s">
        <v>44</v>
      </c>
    </row>
    <row r="11" spans="2:5" x14ac:dyDescent="0.25">
      <c r="B11" t="s">
        <v>45</v>
      </c>
      <c r="C11" t="s">
        <v>46</v>
      </c>
      <c r="D11" s="2" t="e">
        <f>(Recettes fiscales commerciales) / total commerce</f>
        <v>#NAME?</v>
      </c>
      <c r="E1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0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2" max="2" width="21" customWidth="1"/>
    <col min="3" max="3" width="18.5703125" customWidth="1"/>
    <col min="4" max="4" width="15" customWidth="1"/>
    <col min="5" max="5" width="14.42578125" customWidth="1"/>
    <col min="6" max="6" width="13.5703125" customWidth="1"/>
    <col min="7" max="7" width="17.28515625" customWidth="1"/>
    <col min="8" max="9" width="14.140625" customWidth="1"/>
    <col min="10" max="10" width="12.7109375" customWidth="1"/>
    <col min="11" max="11" width="13.5703125" customWidth="1"/>
    <col min="12" max="12" width="14.28515625" customWidth="1"/>
    <col min="13" max="13" width="15.5703125" customWidth="1"/>
    <col min="14" max="14" width="15.85546875" customWidth="1"/>
    <col min="15" max="15" width="17.140625" customWidth="1"/>
    <col min="16" max="16" width="18.5703125" customWidth="1"/>
    <col min="17" max="17" width="21.7109375" customWidth="1"/>
    <col min="18" max="18" width="19" customWidth="1"/>
    <col min="19" max="19" width="17.7109375" customWidth="1"/>
    <col min="20" max="20" width="16.42578125" customWidth="1"/>
  </cols>
  <sheetData>
    <row r="1" spans="2:20" s="9" customFormat="1" ht="63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 spans="2:20" s="3" customFormat="1" ht="45" x14ac:dyDescent="0.25">
      <c r="B2" s="3" t="s">
        <v>48</v>
      </c>
      <c r="C2" s="10" t="s">
        <v>49</v>
      </c>
      <c r="D2" s="11" t="s">
        <v>50</v>
      </c>
      <c r="E2" s="11" t="s">
        <v>51</v>
      </c>
      <c r="F2" s="11">
        <v>2010</v>
      </c>
      <c r="G2" s="12">
        <v>300000000</v>
      </c>
      <c r="H2" s="12">
        <v>10</v>
      </c>
      <c r="I2" s="12">
        <v>120000000</v>
      </c>
      <c r="J2" s="12">
        <v>80000</v>
      </c>
      <c r="K2" s="11">
        <v>6</v>
      </c>
      <c r="L2" s="11">
        <v>3</v>
      </c>
      <c r="M2" s="11">
        <v>5</v>
      </c>
      <c r="N2" s="11">
        <v>50</v>
      </c>
      <c r="O2" s="11">
        <v>10</v>
      </c>
      <c r="P2" s="11">
        <v>80</v>
      </c>
      <c r="Q2" s="10" t="s">
        <v>52</v>
      </c>
      <c r="R2" s="10" t="s">
        <v>53</v>
      </c>
      <c r="S2" s="10" t="s">
        <v>54</v>
      </c>
      <c r="T2" s="11" t="s">
        <v>55</v>
      </c>
    </row>
    <row r="3" spans="2:20" s="3" customFormat="1" ht="60" x14ac:dyDescent="0.25">
      <c r="B3" s="3" t="s">
        <v>56</v>
      </c>
      <c r="C3" s="10" t="s">
        <v>57</v>
      </c>
      <c r="D3" s="11" t="s">
        <v>50</v>
      </c>
      <c r="E3" s="11" t="s">
        <v>51</v>
      </c>
      <c r="F3" s="11">
        <v>2012</v>
      </c>
      <c r="G3" s="12">
        <v>500000000</v>
      </c>
      <c r="H3" s="12">
        <v>15</v>
      </c>
      <c r="I3" s="12">
        <v>200000000</v>
      </c>
      <c r="J3" s="12">
        <v>100000</v>
      </c>
      <c r="K3" s="11">
        <v>7</v>
      </c>
      <c r="L3" s="11">
        <v>1</v>
      </c>
      <c r="M3" s="11">
        <v>7</v>
      </c>
      <c r="N3" s="11">
        <v>60</v>
      </c>
      <c r="O3" s="11">
        <v>15</v>
      </c>
      <c r="P3" s="11">
        <v>70</v>
      </c>
      <c r="Q3" s="10" t="s">
        <v>58</v>
      </c>
      <c r="R3" s="10" t="s">
        <v>59</v>
      </c>
      <c r="S3" s="10" t="s">
        <v>60</v>
      </c>
      <c r="T3" s="11" t="s">
        <v>55</v>
      </c>
    </row>
    <row r="4" spans="2:20" s="3" customFormat="1" ht="45" x14ac:dyDescent="0.25">
      <c r="B4" s="3" t="s">
        <v>61</v>
      </c>
      <c r="C4" s="10" t="s">
        <v>49</v>
      </c>
      <c r="D4" s="11" t="s">
        <v>62</v>
      </c>
      <c r="E4" s="11" t="s">
        <v>51</v>
      </c>
      <c r="F4" s="11">
        <v>2015</v>
      </c>
      <c r="G4" s="12">
        <v>800000000</v>
      </c>
      <c r="H4" s="12">
        <v>20</v>
      </c>
      <c r="I4" s="12">
        <v>400000000</v>
      </c>
      <c r="J4" s="12">
        <v>150000</v>
      </c>
      <c r="K4" s="11">
        <v>5</v>
      </c>
      <c r="L4" s="11">
        <v>5</v>
      </c>
      <c r="M4" s="11">
        <v>10</v>
      </c>
      <c r="N4" s="11">
        <v>40</v>
      </c>
      <c r="O4" s="11">
        <v>12</v>
      </c>
      <c r="P4" s="11">
        <v>90</v>
      </c>
      <c r="Q4" s="10" t="s">
        <v>63</v>
      </c>
      <c r="R4" s="10" t="s">
        <v>64</v>
      </c>
      <c r="S4" s="10" t="s">
        <v>65</v>
      </c>
      <c r="T4" s="11" t="s">
        <v>55</v>
      </c>
    </row>
    <row r="5" spans="2:20" s="3" customFormat="1" ht="60" x14ac:dyDescent="0.25">
      <c r="B5" s="3" t="s">
        <v>66</v>
      </c>
      <c r="C5" s="3" t="s">
        <v>57</v>
      </c>
      <c r="D5" s="11" t="s">
        <v>67</v>
      </c>
      <c r="E5" s="11" t="s">
        <v>51</v>
      </c>
      <c r="F5" s="11">
        <v>2000</v>
      </c>
      <c r="G5" s="12">
        <v>500000000</v>
      </c>
      <c r="H5" s="12">
        <v>15</v>
      </c>
      <c r="I5" s="12">
        <v>100000000</v>
      </c>
      <c r="J5" s="12">
        <v>80000</v>
      </c>
      <c r="K5" s="11">
        <v>10</v>
      </c>
      <c r="L5" s="11">
        <v>2</v>
      </c>
      <c r="M5" s="11">
        <v>7</v>
      </c>
      <c r="N5" s="11">
        <v>50</v>
      </c>
      <c r="O5" s="11">
        <v>20</v>
      </c>
      <c r="P5" s="11">
        <v>90</v>
      </c>
      <c r="Q5" s="10" t="s">
        <v>58</v>
      </c>
      <c r="R5" s="10" t="s">
        <v>59</v>
      </c>
      <c r="S5" s="10" t="s">
        <v>60</v>
      </c>
    </row>
    <row r="6" spans="2:20" s="3" customFormat="1" x14ac:dyDescent="0.25">
      <c r="D6" s="11"/>
      <c r="E6" s="11"/>
      <c r="F6" s="11"/>
      <c r="G6" s="12"/>
      <c r="H6" s="12"/>
      <c r="I6" s="12"/>
      <c r="J6" s="12"/>
      <c r="K6" s="11"/>
      <c r="L6" s="11"/>
      <c r="M6" s="11"/>
      <c r="N6" s="11"/>
      <c r="O6" s="11"/>
      <c r="P6" s="11"/>
      <c r="Q6" s="10"/>
      <c r="R6" s="10"/>
      <c r="S6" s="10"/>
    </row>
    <row r="7" spans="2:20" s="3" customFormat="1" x14ac:dyDescent="0.25">
      <c r="D7" s="11"/>
      <c r="E7" s="11"/>
      <c r="F7" s="11"/>
      <c r="G7" s="12"/>
      <c r="H7" s="12"/>
      <c r="I7" s="12"/>
      <c r="J7" s="12"/>
      <c r="K7" s="11"/>
      <c r="L7" s="11"/>
      <c r="M7" s="11"/>
      <c r="N7" s="11"/>
      <c r="O7" s="11"/>
      <c r="P7" s="11"/>
      <c r="Q7" s="10"/>
      <c r="R7" s="10"/>
      <c r="S7" s="10"/>
    </row>
    <row r="8" spans="2:20" s="3" customFormat="1" x14ac:dyDescent="0.25">
      <c r="D8" s="11"/>
      <c r="E8" s="11"/>
      <c r="F8" s="11"/>
      <c r="G8" s="12"/>
      <c r="H8" s="12"/>
      <c r="I8" s="12"/>
      <c r="J8" s="12"/>
      <c r="K8" s="11"/>
      <c r="L8" s="11"/>
      <c r="M8" s="11"/>
      <c r="N8" s="11"/>
      <c r="O8" s="11"/>
      <c r="P8" s="11"/>
      <c r="Q8" s="10"/>
      <c r="R8" s="10"/>
      <c r="S8" s="10"/>
    </row>
    <row r="9" spans="2:20" s="3" customFormat="1" x14ac:dyDescent="0.25">
      <c r="D9" s="11"/>
      <c r="E9" s="11"/>
      <c r="F9" s="11"/>
      <c r="G9" s="12"/>
      <c r="H9" s="12"/>
      <c r="I9" s="12"/>
      <c r="J9" s="12"/>
      <c r="K9" s="11"/>
      <c r="L9" s="11"/>
      <c r="M9" s="11"/>
      <c r="N9" s="11"/>
      <c r="O9" s="11"/>
      <c r="P9" s="11"/>
      <c r="Q9" s="10"/>
      <c r="R9" s="10"/>
      <c r="S9" s="10"/>
    </row>
    <row r="10" spans="2:20" s="3" customFormat="1" x14ac:dyDescent="0.25">
      <c r="D10" s="11"/>
      <c r="E10" s="11"/>
      <c r="F10" s="11"/>
      <c r="G10" s="12"/>
      <c r="H10" s="12"/>
      <c r="I10" s="12"/>
      <c r="J10" s="12"/>
      <c r="K10" s="11"/>
      <c r="L10" s="11"/>
      <c r="M10" s="11"/>
      <c r="N10" s="11"/>
      <c r="O10" s="11"/>
      <c r="P10" s="11"/>
      <c r="Q10" s="10"/>
      <c r="R10" s="10"/>
      <c r="S10" s="10"/>
    </row>
    <row r="11" spans="2:20" s="3" customFormat="1" x14ac:dyDescent="0.25">
      <c r="D11" s="11"/>
      <c r="E11" s="11"/>
      <c r="F11" s="11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0"/>
      <c r="R11" s="10"/>
      <c r="S11" s="10"/>
    </row>
    <row r="12" spans="2:20" s="3" customFormat="1" x14ac:dyDescent="0.25">
      <c r="D12" s="11"/>
      <c r="E12" s="11"/>
      <c r="F12" s="11"/>
      <c r="G12" s="12"/>
      <c r="H12" s="12"/>
      <c r="I12" s="12"/>
      <c r="J12" s="12"/>
      <c r="K12" s="11"/>
      <c r="L12" s="11"/>
      <c r="M12" s="11"/>
      <c r="N12" s="11"/>
      <c r="O12" s="11"/>
      <c r="P12" s="11"/>
      <c r="Q12" s="10"/>
      <c r="R12" s="10"/>
      <c r="S12" s="10"/>
    </row>
    <row r="13" spans="2:20" s="3" customFormat="1" x14ac:dyDescent="0.25">
      <c r="D13" s="11"/>
      <c r="E13" s="11"/>
      <c r="F13" s="11"/>
      <c r="G13" s="12"/>
      <c r="H13" s="12"/>
      <c r="I13" s="12"/>
      <c r="J13" s="12"/>
      <c r="K13" s="11"/>
      <c r="L13" s="11"/>
      <c r="M13" s="11"/>
      <c r="N13" s="11"/>
      <c r="O13" s="11"/>
      <c r="P13" s="11"/>
      <c r="Q13" s="10"/>
      <c r="R13" s="10"/>
      <c r="S13" s="10"/>
    </row>
    <row r="14" spans="2:20" s="3" customFormat="1" x14ac:dyDescent="0.25">
      <c r="D14" s="11"/>
      <c r="E14" s="11"/>
      <c r="F14" s="11"/>
      <c r="G14" s="12"/>
      <c r="H14" s="12"/>
      <c r="I14" s="12"/>
      <c r="J14" s="12"/>
      <c r="K14" s="11"/>
      <c r="L14" s="11"/>
      <c r="M14" s="11"/>
      <c r="N14" s="11"/>
      <c r="O14" s="11"/>
      <c r="P14" s="11"/>
      <c r="Q14" s="10"/>
      <c r="R14" s="10"/>
      <c r="S14" s="10"/>
    </row>
    <row r="15" spans="2:20" s="3" customFormat="1" x14ac:dyDescent="0.25">
      <c r="D15" s="11"/>
      <c r="E15" s="11"/>
      <c r="F15" s="11"/>
      <c r="G15" s="12"/>
      <c r="H15" s="12"/>
      <c r="I15" s="12"/>
      <c r="J15" s="12"/>
      <c r="K15" s="11"/>
      <c r="L15" s="11"/>
      <c r="M15" s="11"/>
      <c r="N15" s="11"/>
      <c r="O15" s="11"/>
      <c r="P15" s="11"/>
      <c r="Q15" s="10"/>
      <c r="R15" s="10"/>
      <c r="S15" s="10"/>
    </row>
    <row r="16" spans="2:20" s="3" customFormat="1" x14ac:dyDescent="0.25">
      <c r="D16" s="11"/>
      <c r="E16" s="11"/>
      <c r="F16" s="11"/>
      <c r="G16" s="12"/>
      <c r="H16" s="12"/>
      <c r="I16" s="12"/>
      <c r="J16" s="12"/>
      <c r="K16" s="11"/>
      <c r="L16" s="11"/>
      <c r="M16" s="11"/>
      <c r="N16" s="11"/>
      <c r="O16" s="11"/>
      <c r="P16" s="11"/>
      <c r="Q16" s="10"/>
      <c r="R16" s="10"/>
      <c r="S16" s="10"/>
    </row>
    <row r="17" spans="4:19" s="3" customFormat="1" x14ac:dyDescent="0.25">
      <c r="D17" s="11"/>
      <c r="E17" s="11"/>
      <c r="F17" s="11"/>
      <c r="G17" s="12"/>
      <c r="H17" s="12"/>
      <c r="I17" s="12"/>
      <c r="J17" s="12"/>
      <c r="K17" s="11"/>
      <c r="L17" s="11"/>
      <c r="M17" s="11"/>
      <c r="N17" s="11"/>
      <c r="O17" s="11"/>
      <c r="P17" s="11"/>
      <c r="Q17" s="10"/>
      <c r="R17" s="10"/>
      <c r="S17" s="10"/>
    </row>
    <row r="18" spans="4:19" s="3" customFormat="1" x14ac:dyDescent="0.25">
      <c r="D18" s="11"/>
      <c r="E18" s="11"/>
      <c r="F18" s="11"/>
      <c r="G18" s="12"/>
      <c r="H18" s="12"/>
      <c r="I18" s="12"/>
      <c r="J18" s="12"/>
      <c r="K18" s="11"/>
      <c r="L18" s="11"/>
      <c r="M18" s="11"/>
      <c r="N18" s="11"/>
      <c r="O18" s="11"/>
      <c r="P18" s="11"/>
      <c r="Q18" s="10"/>
      <c r="R18" s="10"/>
      <c r="S18" s="10"/>
    </row>
    <row r="19" spans="4:19" s="3" customFormat="1" x14ac:dyDescent="0.25">
      <c r="D19" s="11"/>
      <c r="E19" s="11"/>
      <c r="F19" s="11"/>
      <c r="G19" s="12"/>
      <c r="H19" s="12"/>
      <c r="I19" s="12"/>
      <c r="J19" s="12"/>
      <c r="K19" s="11"/>
      <c r="L19" s="11"/>
      <c r="M19" s="11"/>
      <c r="N19" s="11"/>
      <c r="O19" s="11"/>
      <c r="P19" s="11"/>
      <c r="Q19" s="10"/>
      <c r="R19" s="10"/>
      <c r="S19" s="10"/>
    </row>
    <row r="20" spans="4:19" s="3" customFormat="1" x14ac:dyDescent="0.25">
      <c r="D20" s="11"/>
      <c r="E20" s="11"/>
      <c r="F20" s="11"/>
      <c r="G20" s="12"/>
      <c r="H20" s="12"/>
      <c r="I20" s="12"/>
      <c r="J20" s="12"/>
      <c r="K20" s="11"/>
      <c r="L20" s="11"/>
      <c r="M20" s="11"/>
      <c r="N20" s="11"/>
      <c r="O20" s="11"/>
      <c r="P20" s="11"/>
      <c r="Q20" s="10"/>
      <c r="R20" s="10"/>
      <c r="S20" s="10"/>
    </row>
    <row r="21" spans="4:19" s="3" customFormat="1" x14ac:dyDescent="0.25">
      <c r="D21" s="11"/>
      <c r="E21" s="11"/>
      <c r="F21" s="11"/>
      <c r="G21" s="12"/>
      <c r="H21" s="12"/>
      <c r="I21" s="12"/>
      <c r="J21" s="12"/>
      <c r="K21" s="11"/>
      <c r="L21" s="11"/>
      <c r="M21" s="11"/>
      <c r="N21" s="11"/>
      <c r="O21" s="11"/>
      <c r="P21" s="11"/>
      <c r="Q21" s="10"/>
      <c r="R21" s="10"/>
      <c r="S21" s="10"/>
    </row>
    <row r="22" spans="4:19" s="3" customFormat="1" x14ac:dyDescent="0.25">
      <c r="D22" s="11"/>
      <c r="E22" s="11"/>
      <c r="F22" s="11"/>
      <c r="G22" s="12"/>
      <c r="H22" s="12"/>
      <c r="I22" s="12"/>
      <c r="J22" s="12"/>
      <c r="K22" s="11"/>
      <c r="L22" s="11"/>
      <c r="M22" s="11"/>
      <c r="N22" s="11"/>
      <c r="O22" s="11"/>
      <c r="P22" s="11"/>
      <c r="Q22" s="10"/>
      <c r="R22" s="10"/>
      <c r="S22" s="10"/>
    </row>
    <row r="23" spans="4:19" s="3" customFormat="1" x14ac:dyDescent="0.25">
      <c r="D23" s="11"/>
      <c r="E23" s="11"/>
      <c r="F23" s="11"/>
      <c r="G23" s="12"/>
      <c r="H23" s="12"/>
      <c r="I23" s="12"/>
      <c r="J23" s="12"/>
      <c r="K23" s="11"/>
      <c r="L23" s="11"/>
      <c r="M23" s="11"/>
      <c r="N23" s="11"/>
      <c r="O23" s="11"/>
      <c r="P23" s="11"/>
      <c r="Q23" s="10"/>
      <c r="R23" s="10"/>
      <c r="S23" s="10"/>
    </row>
    <row r="24" spans="4:19" s="3" customFormat="1" x14ac:dyDescent="0.25">
      <c r="D24" s="11"/>
      <c r="E24" s="11"/>
      <c r="F24" s="11"/>
      <c r="G24" s="12"/>
      <c r="H24" s="12"/>
      <c r="I24" s="12"/>
      <c r="J24" s="12"/>
      <c r="K24" s="11"/>
      <c r="L24" s="11"/>
      <c r="M24" s="11"/>
      <c r="N24" s="11"/>
      <c r="O24" s="11"/>
      <c r="P24" s="11"/>
      <c r="Q24" s="10"/>
      <c r="R24" s="10"/>
      <c r="S24" s="10"/>
    </row>
    <row r="25" spans="4:19" s="3" customFormat="1" x14ac:dyDescent="0.25">
      <c r="D25" s="11"/>
      <c r="E25" s="11"/>
      <c r="F25" s="11"/>
      <c r="G25" s="12"/>
      <c r="H25" s="12"/>
      <c r="I25" s="12"/>
      <c r="J25" s="12"/>
      <c r="K25" s="11"/>
      <c r="L25" s="11"/>
      <c r="M25" s="11"/>
      <c r="N25" s="11"/>
      <c r="O25" s="11"/>
      <c r="P25" s="11"/>
      <c r="Q25" s="10"/>
      <c r="R25" s="10"/>
      <c r="S25" s="10"/>
    </row>
    <row r="26" spans="4:19" s="3" customFormat="1" x14ac:dyDescent="0.25">
      <c r="D26" s="11"/>
      <c r="E26" s="11"/>
      <c r="F26" s="11"/>
      <c r="G26" s="12"/>
      <c r="H26" s="12"/>
      <c r="I26" s="12"/>
      <c r="J26" s="12"/>
      <c r="K26" s="11"/>
      <c r="L26" s="11"/>
      <c r="M26" s="11"/>
      <c r="N26" s="11"/>
      <c r="O26" s="11"/>
      <c r="P26" s="11"/>
      <c r="Q26" s="10"/>
      <c r="R26" s="10"/>
      <c r="S26" s="10"/>
    </row>
    <row r="27" spans="4:19" s="3" customFormat="1" x14ac:dyDescent="0.25">
      <c r="D27" s="11"/>
      <c r="E27" s="11"/>
      <c r="F27" s="11"/>
      <c r="G27" s="12"/>
      <c r="H27" s="12"/>
      <c r="I27" s="12"/>
      <c r="J27" s="12"/>
      <c r="K27" s="11"/>
      <c r="L27" s="11"/>
      <c r="M27" s="11"/>
      <c r="N27" s="11"/>
      <c r="O27" s="11"/>
      <c r="P27" s="11"/>
      <c r="Q27" s="10"/>
      <c r="R27" s="10"/>
      <c r="S27" s="10"/>
    </row>
    <row r="28" spans="4:19" s="3" customFormat="1" x14ac:dyDescent="0.25">
      <c r="D28" s="11"/>
      <c r="E28" s="11"/>
      <c r="F28" s="11"/>
      <c r="G28" s="12"/>
      <c r="H28" s="12"/>
      <c r="I28" s="12"/>
      <c r="J28" s="12"/>
      <c r="K28" s="11"/>
      <c r="L28" s="11"/>
      <c r="M28" s="11"/>
      <c r="N28" s="11"/>
      <c r="O28" s="11"/>
      <c r="P28" s="11"/>
      <c r="Q28" s="10"/>
      <c r="R28" s="10"/>
      <c r="S28" s="10"/>
    </row>
    <row r="29" spans="4:19" s="3" customFormat="1" x14ac:dyDescent="0.25">
      <c r="D29" s="11"/>
      <c r="E29" s="11"/>
      <c r="F29" s="11"/>
      <c r="G29" s="12"/>
      <c r="H29" s="12"/>
      <c r="I29" s="12"/>
      <c r="J29" s="12"/>
      <c r="K29" s="11"/>
      <c r="L29" s="11"/>
      <c r="M29" s="11"/>
      <c r="N29" s="11"/>
      <c r="O29" s="11"/>
      <c r="P29" s="11"/>
      <c r="Q29" s="10"/>
      <c r="R29" s="10"/>
      <c r="S29" s="10"/>
    </row>
    <row r="30" spans="4:19" s="3" customFormat="1" x14ac:dyDescent="0.25">
      <c r="D30" s="11"/>
      <c r="E30" s="11"/>
      <c r="F30" s="11"/>
      <c r="G30" s="12"/>
      <c r="H30" s="12"/>
      <c r="I30" s="12"/>
      <c r="J30" s="12"/>
      <c r="K30" s="11"/>
      <c r="L30" s="11"/>
      <c r="M30" s="11"/>
      <c r="N30" s="11"/>
      <c r="O30" s="11"/>
      <c r="P30" s="11"/>
      <c r="Q30" s="10"/>
      <c r="R30" s="10"/>
      <c r="S30" s="10"/>
    </row>
    <row r="31" spans="4:19" x14ac:dyDescent="0.25">
      <c r="D31" s="2"/>
      <c r="E31" s="2"/>
      <c r="F31" s="2"/>
      <c r="G31" s="13"/>
      <c r="H31" s="13"/>
      <c r="I31" s="13"/>
      <c r="J31" s="13"/>
      <c r="K31" s="2"/>
      <c r="L31" s="2"/>
      <c r="M31" s="2"/>
      <c r="N31" s="2"/>
      <c r="O31" s="2"/>
      <c r="P31" s="2"/>
      <c r="Q31" s="14"/>
      <c r="R31" s="14"/>
      <c r="S31" s="14"/>
    </row>
    <row r="32" spans="4:19" x14ac:dyDescent="0.25">
      <c r="D32" s="2"/>
      <c r="E32" s="2"/>
      <c r="F32" s="2"/>
      <c r="G32" s="13"/>
      <c r="H32" s="13"/>
      <c r="I32" s="13"/>
      <c r="J32" s="13"/>
      <c r="K32" s="2"/>
      <c r="L32" s="2"/>
      <c r="M32" s="2"/>
      <c r="N32" s="2"/>
      <c r="O32" s="2"/>
      <c r="P32" s="2"/>
      <c r="Q32" s="14"/>
      <c r="R32" s="14"/>
      <c r="S32" s="14"/>
    </row>
    <row r="33" spans="4:19" x14ac:dyDescent="0.25">
      <c r="D33" s="2"/>
      <c r="E33" s="2"/>
      <c r="F33" s="2"/>
      <c r="G33" s="13"/>
      <c r="H33" s="13"/>
      <c r="I33" s="13"/>
      <c r="J33" s="13"/>
      <c r="K33" s="2"/>
      <c r="L33" s="2"/>
      <c r="M33" s="2"/>
      <c r="N33" s="2"/>
      <c r="O33" s="2"/>
      <c r="P33" s="2"/>
      <c r="Q33" s="14"/>
      <c r="R33" s="14"/>
      <c r="S33" s="14"/>
    </row>
    <row r="34" spans="4:19" x14ac:dyDescent="0.25">
      <c r="D34" s="2"/>
      <c r="E34" s="2"/>
      <c r="F34" s="2"/>
      <c r="G34" s="13"/>
      <c r="H34" s="13"/>
      <c r="I34" s="13"/>
      <c r="J34" s="13"/>
      <c r="K34" s="2"/>
      <c r="L34" s="2"/>
      <c r="M34" s="2"/>
      <c r="N34" s="2"/>
      <c r="O34" s="2"/>
      <c r="P34" s="2"/>
      <c r="Q34" s="14"/>
      <c r="R34" s="14"/>
      <c r="S34" s="14"/>
    </row>
    <row r="35" spans="4:19" x14ac:dyDescent="0.25">
      <c r="D35" s="2"/>
      <c r="E35" s="2"/>
      <c r="F35" s="2"/>
      <c r="G35" s="13"/>
      <c r="H35" s="13"/>
      <c r="I35" s="13"/>
      <c r="J35" s="13"/>
      <c r="K35" s="2"/>
      <c r="L35" s="2"/>
      <c r="M35" s="2"/>
      <c r="N35" s="2"/>
      <c r="O35" s="2"/>
      <c r="P35" s="2"/>
      <c r="Q35" s="14"/>
      <c r="R35" s="14"/>
      <c r="S35" s="14"/>
    </row>
    <row r="36" spans="4:19" x14ac:dyDescent="0.25">
      <c r="D36" s="2"/>
      <c r="E36" s="2"/>
      <c r="F36" s="2"/>
      <c r="G36" s="13"/>
      <c r="H36" s="13"/>
      <c r="I36" s="13"/>
      <c r="J36" s="13"/>
      <c r="K36" s="2"/>
      <c r="L36" s="2"/>
      <c r="M36" s="2"/>
      <c r="N36" s="2"/>
      <c r="O36" s="2"/>
      <c r="P36" s="2"/>
      <c r="Q36" s="14"/>
      <c r="R36" s="14"/>
      <c r="S36" s="14"/>
    </row>
    <row r="37" spans="4:19" x14ac:dyDescent="0.25">
      <c r="D37" s="2"/>
      <c r="E37" s="2"/>
      <c r="F37" s="2"/>
      <c r="G37" s="13"/>
      <c r="H37" s="13"/>
      <c r="I37" s="13"/>
      <c r="J37" s="13"/>
      <c r="K37" s="2"/>
      <c r="L37" s="2"/>
      <c r="M37" s="2"/>
      <c r="N37" s="2"/>
      <c r="O37" s="2"/>
      <c r="P37" s="2"/>
      <c r="Q37" s="14"/>
      <c r="R37" s="14"/>
      <c r="S37" s="14"/>
    </row>
    <row r="38" spans="4:19" x14ac:dyDescent="0.25">
      <c r="D38" s="2"/>
      <c r="E38" s="2"/>
      <c r="F38" s="2"/>
      <c r="G38" s="13"/>
      <c r="H38" s="13"/>
      <c r="I38" s="13"/>
      <c r="J38" s="13"/>
      <c r="K38" s="2"/>
      <c r="L38" s="2"/>
      <c r="M38" s="2"/>
      <c r="N38" s="2"/>
      <c r="O38" s="2"/>
      <c r="P38" s="2"/>
      <c r="Q38" s="14"/>
      <c r="R38" s="14"/>
      <c r="S38" s="14"/>
    </row>
    <row r="39" spans="4:19" x14ac:dyDescent="0.25">
      <c r="D39" s="2"/>
      <c r="E39" s="2"/>
      <c r="F39" s="2"/>
      <c r="G39" s="13"/>
      <c r="H39" s="13"/>
      <c r="I39" s="13"/>
      <c r="J39" s="13"/>
      <c r="K39" s="2"/>
      <c r="L39" s="2"/>
      <c r="M39" s="2"/>
      <c r="N39" s="2"/>
      <c r="O39" s="2"/>
      <c r="P39" s="2"/>
      <c r="Q39" s="14"/>
      <c r="R39" s="14"/>
      <c r="S39" s="14"/>
    </row>
    <row r="40" spans="4:19" x14ac:dyDescent="0.25">
      <c r="D40" s="2"/>
      <c r="E40" s="2"/>
      <c r="F40" s="2"/>
      <c r="G40" s="13"/>
      <c r="H40" s="13"/>
      <c r="I40" s="13"/>
      <c r="J40" s="13"/>
      <c r="K40" s="2"/>
      <c r="L40" s="2"/>
      <c r="M40" s="2"/>
      <c r="N40" s="2"/>
      <c r="O40" s="2"/>
      <c r="P40" s="2"/>
      <c r="Q40" s="14"/>
      <c r="R40" s="14"/>
      <c r="S40" s="14"/>
    </row>
    <row r="41" spans="4:19" x14ac:dyDescent="0.25">
      <c r="D41" s="2"/>
      <c r="E41" s="2"/>
      <c r="F41" s="2"/>
      <c r="G41" s="13"/>
      <c r="H41" s="13"/>
      <c r="I41" s="13"/>
      <c r="J41" s="13"/>
      <c r="K41" s="2"/>
      <c r="L41" s="2"/>
      <c r="M41" s="2"/>
      <c r="N41" s="2"/>
      <c r="O41" s="2"/>
      <c r="P41" s="2"/>
      <c r="Q41" s="14"/>
      <c r="R41" s="14"/>
      <c r="S41" s="14"/>
    </row>
    <row r="42" spans="4:19" x14ac:dyDescent="0.25">
      <c r="D42" s="2"/>
      <c r="E42" s="2"/>
      <c r="F42" s="2"/>
      <c r="G42" s="13"/>
      <c r="H42" s="13"/>
      <c r="I42" s="13"/>
      <c r="J42" s="13"/>
      <c r="K42" s="2"/>
      <c r="L42" s="2"/>
      <c r="M42" s="2"/>
      <c r="N42" s="2"/>
      <c r="O42" s="2"/>
      <c r="P42" s="2"/>
      <c r="Q42" s="14"/>
      <c r="R42" s="14"/>
      <c r="S42" s="14"/>
    </row>
    <row r="43" spans="4:19" x14ac:dyDescent="0.25">
      <c r="D43" s="2"/>
      <c r="E43" s="2"/>
      <c r="F43" s="2"/>
      <c r="G43" s="13"/>
      <c r="H43" s="13"/>
      <c r="I43" s="13"/>
      <c r="J43" s="13"/>
      <c r="K43" s="2"/>
      <c r="L43" s="2"/>
      <c r="M43" s="2"/>
      <c r="N43" s="2"/>
      <c r="O43" s="2"/>
      <c r="P43" s="2"/>
      <c r="Q43" s="14"/>
      <c r="R43" s="14"/>
      <c r="S43" s="14"/>
    </row>
    <row r="44" spans="4:19" x14ac:dyDescent="0.25">
      <c r="D44" s="2"/>
      <c r="E44" s="2"/>
      <c r="F44" s="2"/>
      <c r="G44" s="13"/>
      <c r="H44" s="13"/>
      <c r="I44" s="13"/>
      <c r="J44" s="13"/>
      <c r="K44" s="2"/>
      <c r="L44" s="2"/>
      <c r="M44" s="2"/>
      <c r="N44" s="2"/>
      <c r="O44" s="2"/>
      <c r="P44" s="2"/>
      <c r="Q44" s="14"/>
      <c r="R44" s="14"/>
      <c r="S44" s="14"/>
    </row>
    <row r="45" spans="4:19" x14ac:dyDescent="0.25">
      <c r="D45" s="2"/>
      <c r="E45" s="2"/>
      <c r="F45" s="2"/>
      <c r="G45" s="13"/>
      <c r="H45" s="13"/>
      <c r="I45" s="13"/>
      <c r="J45" s="13"/>
      <c r="K45" s="2"/>
      <c r="L45" s="2"/>
      <c r="M45" s="2"/>
      <c r="N45" s="2"/>
      <c r="O45" s="2"/>
      <c r="P45" s="2"/>
      <c r="Q45" s="14"/>
      <c r="R45" s="14"/>
      <c r="S45" s="14"/>
    </row>
    <row r="46" spans="4:19" x14ac:dyDescent="0.25">
      <c r="D46" s="2"/>
      <c r="E46" s="2"/>
      <c r="F46" s="2"/>
      <c r="G46" s="13"/>
      <c r="H46" s="13"/>
      <c r="I46" s="13"/>
      <c r="J46" s="13"/>
      <c r="K46" s="2"/>
      <c r="L46" s="2"/>
      <c r="M46" s="2"/>
      <c r="N46" s="2"/>
      <c r="O46" s="2"/>
      <c r="P46" s="2"/>
      <c r="Q46" s="14"/>
      <c r="R46" s="14"/>
      <c r="S46" s="14"/>
    </row>
    <row r="47" spans="4:19" x14ac:dyDescent="0.25">
      <c r="D47" s="2"/>
      <c r="E47" s="2"/>
      <c r="F47" s="2"/>
      <c r="G47" s="13"/>
      <c r="H47" s="13"/>
      <c r="I47" s="13"/>
      <c r="J47" s="13"/>
      <c r="K47" s="2"/>
      <c r="L47" s="2"/>
      <c r="M47" s="2"/>
      <c r="N47" s="2"/>
      <c r="O47" s="2"/>
      <c r="P47" s="2"/>
      <c r="Q47" s="14"/>
      <c r="R47" s="14"/>
      <c r="S47" s="14"/>
    </row>
    <row r="48" spans="4:19" x14ac:dyDescent="0.25">
      <c r="D48" s="2"/>
      <c r="E48" s="2"/>
      <c r="F48" s="2"/>
      <c r="G48" s="13"/>
      <c r="H48" s="13"/>
      <c r="I48" s="13"/>
      <c r="J48" s="13"/>
      <c r="K48" s="2"/>
      <c r="L48" s="2"/>
      <c r="M48" s="2"/>
      <c r="N48" s="2"/>
      <c r="O48" s="2"/>
      <c r="P48" s="2"/>
      <c r="Q48" s="14"/>
      <c r="R48" s="14"/>
      <c r="S48" s="14"/>
    </row>
    <row r="49" spans="4:19" x14ac:dyDescent="0.25">
      <c r="D49" s="2"/>
      <c r="E49" s="2"/>
      <c r="F49" s="2"/>
      <c r="G49" s="13"/>
      <c r="H49" s="13"/>
      <c r="I49" s="13"/>
      <c r="J49" s="13"/>
      <c r="K49" s="2"/>
      <c r="L49" s="2"/>
      <c r="M49" s="2"/>
      <c r="N49" s="2"/>
      <c r="O49" s="2"/>
      <c r="P49" s="2"/>
      <c r="Q49" s="14"/>
      <c r="R49" s="14"/>
      <c r="S49" s="14"/>
    </row>
    <row r="50" spans="4:19" x14ac:dyDescent="0.25">
      <c r="D50" s="2"/>
      <c r="E50" s="2"/>
      <c r="F50" s="2"/>
      <c r="G50" s="13"/>
      <c r="H50" s="13"/>
      <c r="I50" s="13"/>
      <c r="J50" s="13"/>
      <c r="K50" s="2"/>
      <c r="L50" s="2"/>
      <c r="M50" s="2"/>
      <c r="N50" s="2"/>
      <c r="O50" s="2"/>
      <c r="P50" s="2"/>
      <c r="Q50" s="14"/>
      <c r="R50" s="14"/>
      <c r="S50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R28" sqref="R28"/>
    </sheetView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FE4E-DC2A-48D3-BBE9-F6DA43302E61}">
  <dimension ref="A1:F10"/>
  <sheetViews>
    <sheetView workbookViewId="0">
      <selection activeCell="A31" sqref="A31"/>
    </sheetView>
  </sheetViews>
  <sheetFormatPr baseColWidth="10" defaultRowHeight="15" x14ac:dyDescent="0.25"/>
  <cols>
    <col min="1" max="1" width="38.5703125" bestFit="1" customWidth="1"/>
    <col min="2" max="2" width="68.85546875" bestFit="1" customWidth="1"/>
    <col min="3" max="3" width="81.42578125" bestFit="1" customWidth="1"/>
    <col min="4" max="4" width="11.7109375" bestFit="1" customWidth="1"/>
    <col min="5" max="6" width="17.5703125" bestFit="1" customWidth="1"/>
  </cols>
  <sheetData>
    <row r="1" spans="1:6" x14ac:dyDescent="0.25">
      <c r="A1" t="s">
        <v>23</v>
      </c>
      <c r="B1" t="s">
        <v>121</v>
      </c>
      <c r="C1" t="s">
        <v>122</v>
      </c>
      <c r="D1" t="s">
        <v>163</v>
      </c>
      <c r="E1" t="s">
        <v>123</v>
      </c>
      <c r="F1" t="s">
        <v>124</v>
      </c>
    </row>
    <row r="2" spans="1:6" x14ac:dyDescent="0.25">
      <c r="A2" t="s">
        <v>6</v>
      </c>
      <c r="B2" t="s">
        <v>125</v>
      </c>
      <c r="C2" t="s">
        <v>126</v>
      </c>
      <c r="D2" t="e">
        <f>(CA actuel - CA précédent) / CA précédent * 100</f>
        <v>#NAME?</v>
      </c>
      <c r="E2" t="s">
        <v>127</v>
      </c>
      <c r="F2" t="s">
        <v>128</v>
      </c>
    </row>
    <row r="3" spans="1:6" x14ac:dyDescent="0.25">
      <c r="A3" t="s">
        <v>7</v>
      </c>
      <c r="B3" t="s">
        <v>129</v>
      </c>
      <c r="C3" t="s">
        <v>130</v>
      </c>
      <c r="E3" t="s">
        <v>131</v>
      </c>
      <c r="F3" t="s">
        <v>132</v>
      </c>
    </row>
    <row r="4" spans="1:6" x14ac:dyDescent="0.25">
      <c r="A4" t="s">
        <v>8</v>
      </c>
      <c r="B4" t="s">
        <v>133</v>
      </c>
      <c r="C4" t="s">
        <v>134</v>
      </c>
      <c r="E4" t="s">
        <v>135</v>
      </c>
      <c r="F4" t="s">
        <v>136</v>
      </c>
    </row>
    <row r="5" spans="1:6" x14ac:dyDescent="0.25">
      <c r="A5" t="s">
        <v>9</v>
      </c>
      <c r="B5" t="s">
        <v>137</v>
      </c>
      <c r="C5" t="s">
        <v>138</v>
      </c>
      <c r="D5" t="e">
        <f>Coût des Ventes / Stock moyen</f>
        <v>#NAME?</v>
      </c>
      <c r="E5" t="s">
        <v>139</v>
      </c>
      <c r="F5" t="s">
        <v>140</v>
      </c>
    </row>
    <row r="6" spans="1:6" x14ac:dyDescent="0.25">
      <c r="A6" t="s">
        <v>10</v>
      </c>
      <c r="B6" t="s">
        <v>141</v>
      </c>
      <c r="C6" t="s">
        <v>142</v>
      </c>
      <c r="D6" t="e">
        <f>Stock en rupture / Stock total * 100</f>
        <v>#NAME?</v>
      </c>
      <c r="E6" t="s">
        <v>143</v>
      </c>
      <c r="F6" t="s">
        <v>144</v>
      </c>
    </row>
    <row r="7" spans="1:6" x14ac:dyDescent="0.25">
      <c r="A7" t="s">
        <v>11</v>
      </c>
      <c r="B7" t="s">
        <v>145</v>
      </c>
      <c r="C7" t="s">
        <v>146</v>
      </c>
      <c r="D7" t="e">
        <f>(Prix actuel - Prix précédent) / Prix précédent * 100</f>
        <v>#NAME?</v>
      </c>
      <c r="E7" t="s">
        <v>147</v>
      </c>
      <c r="F7" t="s">
        <v>143</v>
      </c>
    </row>
    <row r="8" spans="1:6" x14ac:dyDescent="0.25">
      <c r="A8" t="s">
        <v>12</v>
      </c>
      <c r="B8" t="s">
        <v>148</v>
      </c>
      <c r="C8" t="s">
        <v>149</v>
      </c>
      <c r="E8" t="s">
        <v>150</v>
      </c>
      <c r="F8" t="s">
        <v>151</v>
      </c>
    </row>
    <row r="9" spans="1:6" x14ac:dyDescent="0.25">
      <c r="A9" t="s">
        <v>13</v>
      </c>
      <c r="B9" t="s">
        <v>152</v>
      </c>
      <c r="C9" t="s">
        <v>153</v>
      </c>
      <c r="D9" t="e">
        <f>SOMME des délais de livraison / Nombre de commandes</f>
        <v>#NAME?</v>
      </c>
      <c r="E9" t="s">
        <v>154</v>
      </c>
      <c r="F9" t="s">
        <v>155</v>
      </c>
    </row>
    <row r="10" spans="1:6" x14ac:dyDescent="0.25">
      <c r="A10" t="s">
        <v>156</v>
      </c>
      <c r="B10" t="s">
        <v>157</v>
      </c>
      <c r="C10" t="s">
        <v>158</v>
      </c>
      <c r="E10" t="s">
        <v>159</v>
      </c>
      <c r="F10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Structure</vt:lpstr>
      <vt:lpstr>Matrice</vt:lpstr>
      <vt:lpstr>Données</vt:lpstr>
      <vt:lpstr>Dashboard</vt:lpstr>
      <vt:lpstr>CONSOLIDE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Moussa KANE</cp:lastModifiedBy>
  <dcterms:created xsi:type="dcterms:W3CDTF">2026-04-07T00:11:48Z</dcterms:created>
  <dcterms:modified xsi:type="dcterms:W3CDTF">2026-04-08T16:29:53Z</dcterms:modified>
</cp:coreProperties>
</file>