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drawings/drawing5.xml" ContentType="application/vnd.openxmlformats-officedocument.drawing+xml"/>
  <Override PartName="/xl/tables/table11.xml" ContentType="application/vnd.openxmlformats-officedocument.spreadsheetml.table+xml"/>
  <Override PartName="/xl/drawings/drawing6.xml" ContentType="application/vnd.openxmlformats-officedocument.drawing+xml"/>
  <Override PartName="/xl/tables/table12.xml" ContentType="application/vnd.openxmlformats-officedocument.spreadsheetml.tab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0BBE0E2-E0BC-4F99-9C2D-2A99520DC119}" xr6:coauthVersionLast="47" xr6:coauthVersionMax="47" xr10:uidLastSave="{00000000-0000-0000-0000-000000000000}"/>
  <bookViews>
    <workbookView xWindow="-120" yWindow="-120" windowWidth="25440" windowHeight="15270" activeTab="1" xr2:uid="{678385DA-FA4A-4AAE-9D07-230380727C91}"/>
  </bookViews>
  <sheets>
    <sheet name="Collecte données" sheetId="1" r:id="rId1"/>
    <sheet name="MINES" sheetId="3" r:id="rId2"/>
    <sheet name="AGROINDUS" sheetId="4" r:id="rId3"/>
    <sheet name="BTP" sheetId="6" r:id="rId4"/>
    <sheet name="MANUFACTURES" sheetId="5" r:id="rId5"/>
    <sheet name="ENERGIE" sheetId="7" r:id="rId6"/>
    <sheet name="CONSOLIDATION" sheetId="8" r:id="rId7"/>
    <sheet name="Analyse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F12" i="3"/>
  <c r="F13" i="3"/>
  <c r="F14" i="3"/>
  <c r="F15" i="3"/>
  <c r="B19" i="3"/>
  <c r="C19" i="3"/>
  <c r="D19" i="3"/>
  <c r="F19" i="3"/>
  <c r="G3" i="4"/>
  <c r="G4" i="4"/>
  <c r="G5" i="4"/>
  <c r="G6" i="4"/>
  <c r="G7" i="4"/>
  <c r="E19" i="3" l="1"/>
</calcChain>
</file>

<file path=xl/sharedStrings.xml><?xml version="1.0" encoding="utf-8"?>
<sst xmlns="http://schemas.openxmlformats.org/spreadsheetml/2006/main" count="850" uniqueCount="250">
  <si>
    <t>Nom entreprise</t>
  </si>
  <si>
    <t>Région</t>
  </si>
  <si>
    <t>Prod. installée</t>
  </si>
  <si>
    <t>Prod. réalisée</t>
  </si>
  <si>
    <t>Emplois</t>
  </si>
  <si>
    <t>% Emploi femmes</t>
  </si>
  <si>
    <t>IDE reçus (M USD)</t>
  </si>
  <si>
    <t>Contraintes</t>
  </si>
  <si>
    <t>Maj</t>
  </si>
  <si>
    <t>MinEx Guinea</t>
  </si>
  <si>
    <t>Kindia</t>
  </si>
  <si>
    <t>1 200 000 t/y</t>
  </si>
  <si>
    <t>1 050 000 t</t>
  </si>
  <si>
    <t>1 500</t>
  </si>
  <si>
    <t>12 %</t>
  </si>
  <si>
    <t>Faible teneur minerai</t>
  </si>
  <si>
    <t>2026‑03‑31</t>
  </si>
  <si>
    <t>Alpha Metal</t>
  </si>
  <si>
    <t>Nzérékoré</t>
  </si>
  <si>
    <t>950 000 t/y</t>
  </si>
  <si>
    <t>820 000 t</t>
  </si>
  <si>
    <t>1 100</t>
  </si>
  <si>
    <t>10 %</t>
  </si>
  <si>
    <t>Infrastructure</t>
  </si>
  <si>
    <t>2026‑02‑15</t>
  </si>
  <si>
    <t>Guinée Bauxite SA</t>
  </si>
  <si>
    <t>Boké</t>
  </si>
  <si>
    <t>3 000 000 t/y</t>
  </si>
  <si>
    <t>2 750 000 t</t>
  </si>
  <si>
    <t>4 200</t>
  </si>
  <si>
    <t>15 %</t>
  </si>
  <si>
    <t>Logistique portuaire</t>
  </si>
  <si>
    <t>2026‑04‑05</t>
  </si>
  <si>
    <t>FerMiner</t>
  </si>
  <si>
    <t>Kankan</t>
  </si>
  <si>
    <t>700 000 t/y</t>
  </si>
  <si>
    <t>550 000 t</t>
  </si>
  <si>
    <t>9 %</t>
  </si>
  <si>
    <t>Disponibilité eau</t>
  </si>
  <si>
    <t>2026‑01‑20</t>
  </si>
  <si>
    <t>AllSteel Mining</t>
  </si>
  <si>
    <t>Mamou</t>
  </si>
  <si>
    <t>880 000 t/y</t>
  </si>
  <si>
    <t>1 000</t>
  </si>
  <si>
    <t>11 %</t>
  </si>
  <si>
    <t>Energie instable</t>
  </si>
  <si>
    <t>2026‑03‑10</t>
  </si>
  <si>
    <t>Prod. installée (t/y)</t>
  </si>
  <si>
    <t>Prod. réalisée (t)</t>
  </si>
  <si>
    <t>AgroPlus</t>
  </si>
  <si>
    <t>Conakry</t>
  </si>
  <si>
    <t>50 000</t>
  </si>
  <si>
    <t>48 200</t>
  </si>
  <si>
    <t>42 %</t>
  </si>
  <si>
    <t>Matières premières</t>
  </si>
  <si>
    <t>GrainMaster</t>
  </si>
  <si>
    <t>75 000</t>
  </si>
  <si>
    <t>70 300</t>
  </si>
  <si>
    <t>38 %</t>
  </si>
  <si>
    <t>Stockage</t>
  </si>
  <si>
    <t>2026‑04‑02</t>
  </si>
  <si>
    <t>FruitCo</t>
  </si>
  <si>
    <t>Labé</t>
  </si>
  <si>
    <t>30 000</t>
  </si>
  <si>
    <t>29 500</t>
  </si>
  <si>
    <t>47 %</t>
  </si>
  <si>
    <t>3.2</t>
  </si>
  <si>
    <t>Saisonnière</t>
  </si>
  <si>
    <t>2026‑03‑22</t>
  </si>
  <si>
    <t>AgroEast</t>
  </si>
  <si>
    <t>60 000</t>
  </si>
  <si>
    <t>57 000</t>
  </si>
  <si>
    <t>40 %</t>
  </si>
  <si>
    <t>6.4</t>
  </si>
  <si>
    <t>Transport</t>
  </si>
  <si>
    <t>2026‑04‑01</t>
  </si>
  <si>
    <t>NutriFoods</t>
  </si>
  <si>
    <t>80 000</t>
  </si>
  <si>
    <t>75 500</t>
  </si>
  <si>
    <t>44 %</t>
  </si>
  <si>
    <t>9.1</t>
  </si>
  <si>
    <t>Energie</t>
  </si>
  <si>
    <t>2026‑03‑28</t>
  </si>
  <si>
    <t>Prod. installée (units/y)</t>
  </si>
  <si>
    <t>TextiConakry</t>
  </si>
  <si>
    <t>1 000 000</t>
  </si>
  <si>
    <t>920 000</t>
  </si>
  <si>
    <t>1 200</t>
  </si>
  <si>
    <t>55 %</t>
  </si>
  <si>
    <t>2026‑04‑04</t>
  </si>
  <si>
    <t>FootWear GN</t>
  </si>
  <si>
    <t>850 000</t>
  </si>
  <si>
    <t>780 000</t>
  </si>
  <si>
    <t>48 %</t>
  </si>
  <si>
    <t>9.5</t>
  </si>
  <si>
    <t>Technologies</t>
  </si>
  <si>
    <t>2026‑03‑21</t>
  </si>
  <si>
    <t>Paper &amp; Pack SA</t>
  </si>
  <si>
    <t>600 000</t>
  </si>
  <si>
    <t>580 000</t>
  </si>
  <si>
    <t>36 %</t>
  </si>
  <si>
    <t>Logistique</t>
  </si>
  <si>
    <t>2026‑04‑03</t>
  </si>
  <si>
    <t>CraftMakers</t>
  </si>
  <si>
    <t>420 000</t>
  </si>
  <si>
    <t>400 000</t>
  </si>
  <si>
    <t>50 %</t>
  </si>
  <si>
    <t>4.2</t>
  </si>
  <si>
    <t>Marché local</t>
  </si>
  <si>
    <t>2026‑03‑29</t>
  </si>
  <si>
    <t>ElecParts</t>
  </si>
  <si>
    <t>550 000</t>
  </si>
  <si>
    <t>510 000</t>
  </si>
  <si>
    <t>28 %</t>
  </si>
  <si>
    <t>5.8</t>
  </si>
  <si>
    <t>Prod. installée (m²/an)</t>
  </si>
  <si>
    <t>BuildCon GN</t>
  </si>
  <si>
    <t>500 000</t>
  </si>
  <si>
    <t>470 000</t>
  </si>
  <si>
    <t>3 400</t>
  </si>
  <si>
    <t>8 %</t>
  </si>
  <si>
    <t>Accès financement</t>
  </si>
  <si>
    <t>Roads &amp; Infra</t>
  </si>
  <si>
    <t>750 000</t>
  </si>
  <si>
    <t>720 000</t>
  </si>
  <si>
    <t>4 100</t>
  </si>
  <si>
    <t>6 %</t>
  </si>
  <si>
    <t>Matières coûteuses</t>
  </si>
  <si>
    <t>2026‑03‑30</t>
  </si>
  <si>
    <t>UrbanDev</t>
  </si>
  <si>
    <t>620 000</t>
  </si>
  <si>
    <t>3 200</t>
  </si>
  <si>
    <t>Réglementation</t>
  </si>
  <si>
    <t>2026‑03‑27</t>
  </si>
  <si>
    <t>BridgeWorks</t>
  </si>
  <si>
    <t>480 000</t>
  </si>
  <si>
    <t>460 000</t>
  </si>
  <si>
    <t>2 900</t>
  </si>
  <si>
    <t>Pénurie main d’œuvre</t>
  </si>
  <si>
    <t>Housing SA</t>
  </si>
  <si>
    <t>690 000</t>
  </si>
  <si>
    <t>660 000</t>
  </si>
  <si>
    <t>3 800</t>
  </si>
  <si>
    <t>2026‑03‑26</t>
  </si>
  <si>
    <t>Prod. installée (GWh)</t>
  </si>
  <si>
    <t>Guinée Energies</t>
  </si>
  <si>
    <t>1 400</t>
  </si>
  <si>
    <t>2 100</t>
  </si>
  <si>
    <t>14 %</t>
  </si>
  <si>
    <t>Fiabilité réseau</t>
  </si>
  <si>
    <t>SolarPower GN</t>
  </si>
  <si>
    <t>22 %</t>
  </si>
  <si>
    <t>Saison</t>
  </si>
  <si>
    <t>HydroSea</t>
  </si>
  <si>
    <t>2 000</t>
  </si>
  <si>
    <t>1 970</t>
  </si>
  <si>
    <t>Démarrage turbine</t>
  </si>
  <si>
    <t>WindWest</t>
  </si>
  <si>
    <t>18 %</t>
  </si>
  <si>
    <t>Vitesses vents</t>
  </si>
  <si>
    <t>2026‑03‑25</t>
  </si>
  <si>
    <t>BioFuel GN</t>
  </si>
  <si>
    <t>25 %</t>
  </si>
  <si>
    <t>Secteur</t>
  </si>
  <si>
    <t>Production réalisée</t>
  </si>
  <si>
    <t>Total emplois créés</t>
  </si>
  <si>
    <t>Mines &amp; Métallurgie</t>
  </si>
  <si>
    <t>Agroindustrie</t>
  </si>
  <si>
    <t>48 200 t</t>
  </si>
  <si>
    <t>70 300 t</t>
  </si>
  <si>
    <t>29 500 t</t>
  </si>
  <si>
    <t>57 000 t</t>
  </si>
  <si>
    <t>75 500 t</t>
  </si>
  <si>
    <t>Manufactures légères</t>
  </si>
  <si>
    <t>920 000 u</t>
  </si>
  <si>
    <t>780 000 u</t>
  </si>
  <si>
    <t>580 000 u</t>
  </si>
  <si>
    <t>400 000 u</t>
  </si>
  <si>
    <t>510 000 u</t>
  </si>
  <si>
    <t>BTP &amp; Construction</t>
  </si>
  <si>
    <t>470 000 m²</t>
  </si>
  <si>
    <t>720 000 m²</t>
  </si>
  <si>
    <t>600 000 m²</t>
  </si>
  <si>
    <t>460 000 m²</t>
  </si>
  <si>
    <t>660 000 m²</t>
  </si>
  <si>
    <t>Énergie</t>
  </si>
  <si>
    <t>1 400 GWh</t>
  </si>
  <si>
    <t>830 GWh</t>
  </si>
  <si>
    <t>1 970 GWh</t>
  </si>
  <si>
    <t>620 GWh</t>
  </si>
  <si>
    <t>760 GWh</t>
  </si>
  <si>
    <r>
      <t xml:space="preserve">Voici une </t>
    </r>
    <r>
      <rPr>
        <b/>
        <sz val="11"/>
        <color theme="1"/>
        <rFont val="Aptos Narrow"/>
        <family val="2"/>
        <scheme val="minor"/>
      </rPr>
      <t>analyse sectorielle basée sur les données consolidées</t>
    </r>
    <r>
      <rPr>
        <sz val="11"/>
        <color theme="1"/>
        <rFont val="Aptos Narrow"/>
        <family val="2"/>
        <scheme val="minor"/>
      </rPr>
      <t> : production réalisée, emplois créés et IDE reçus. Les tendances sont simulées à partir des chiffres fournis ; elles donnent une idée générale de la dynamique par secteur.</t>
    </r>
  </si>
  <si>
    <t>1. Mines &amp; Métallurgie</t>
  </si>
  <si>
    <r>
      <t>Production</t>
    </r>
    <r>
      <rPr>
        <sz val="11"/>
        <color theme="1"/>
        <rFont val="Aptos Narrow"/>
        <family val="2"/>
        <scheme val="minor"/>
      </rPr>
      <t xml:space="preserve"> : Total de 5 990 000 t, avec une capacité installée élevée (jusqu’à 3 000 000 t). Les grandes entreprises comme </t>
    </r>
    <r>
      <rPr>
        <i/>
        <sz val="11"/>
        <color theme="1"/>
        <rFont val="Aptos Narrow"/>
        <family val="2"/>
        <scheme val="minor"/>
      </rPr>
      <t>Guinée Bauxite SA</t>
    </r>
    <r>
      <rPr>
        <sz val="11"/>
        <color theme="1"/>
        <rFont val="Aptos Narrow"/>
        <family val="2"/>
        <scheme val="minor"/>
      </rPr>
      <t xml:space="preserve"> dominent la production, mais certaines entreprises (FerMiner) restent sous-capacitaires.</t>
    </r>
  </si>
  <si>
    <r>
      <t>Emploi créé</t>
    </r>
    <r>
      <rPr>
        <sz val="11"/>
        <color theme="1"/>
        <rFont val="Aptos Narrow"/>
        <family val="2"/>
        <scheme val="minor"/>
      </rPr>
      <t xml:space="preserve"> : 8 650 emplois, taux modéré de féminisation (~11 %).</t>
    </r>
  </si>
  <si>
    <r>
      <t>IDE reçus</t>
    </r>
    <r>
      <rPr>
        <sz val="11"/>
        <color theme="1"/>
        <rFont val="Aptos Narrow"/>
        <family val="2"/>
        <scheme val="minor"/>
      </rPr>
      <t xml:space="preserve"> : 245 M USD, majoritairement concentrés sur les entreprises les plus grandes.</t>
    </r>
  </si>
  <si>
    <r>
      <t>Contraintes clés</t>
    </r>
    <r>
      <rPr>
        <sz val="11"/>
        <color theme="1"/>
        <rFont val="Aptos Narrow"/>
        <family val="2"/>
        <scheme val="minor"/>
      </rPr>
      <t xml:space="preserve"> : Logistique, disponibilité énergétique et eau, qualité du minerai.</t>
    </r>
  </si>
  <si>
    <r>
      <t>Tendance</t>
    </r>
    <r>
      <rPr>
        <sz val="11"/>
        <color theme="1"/>
        <rFont val="Aptos Narrow"/>
        <family val="2"/>
        <scheme val="minor"/>
      </rPr>
      <t xml:space="preserve"> : Secteur capital-intensive, forte production concentrée sur quelques acteurs majeurs, dépendance aux infrastructures portuaires et énergie. Potentiel de croissance stable si investissements ciblés.</t>
    </r>
  </si>
  <si>
    <t>2. Agroindustrie</t>
  </si>
  <si>
    <r>
      <t>Production</t>
    </r>
    <r>
      <rPr>
        <sz val="11"/>
        <color theme="1"/>
        <rFont val="Aptos Narrow"/>
        <family val="2"/>
        <scheme val="minor"/>
      </rPr>
      <t xml:space="preserve"> : Total de 285 500 t, la production est relativement homogène. Les entreprises maintiennent une utilisation proche de la capacité installée.</t>
    </r>
  </si>
  <si>
    <r>
      <t>Emploi créé</t>
    </r>
    <r>
      <rPr>
        <sz val="11"/>
        <color theme="1"/>
        <rFont val="Aptos Narrow"/>
        <family val="2"/>
        <scheme val="minor"/>
      </rPr>
      <t xml:space="preserve"> : 2 400 emplois, taux élevé de féminisation (~42 %), ce qui reflète un secteur à forte main-d’œuvre et inclusif.</t>
    </r>
  </si>
  <si>
    <r>
      <t>IDE reçus</t>
    </r>
    <r>
      <rPr>
        <sz val="11"/>
        <color theme="1"/>
        <rFont val="Aptos Narrow"/>
        <family val="2"/>
        <scheme val="minor"/>
      </rPr>
      <t xml:space="preserve"> : 31,7 M USD, faible mais suffisant pour modernisation et stockage.</t>
    </r>
  </si>
  <si>
    <r>
      <t>Contraintes clés</t>
    </r>
    <r>
      <rPr>
        <sz val="11"/>
        <color theme="1"/>
        <rFont val="Aptos Narrow"/>
        <family val="2"/>
        <scheme val="minor"/>
      </rPr>
      <t xml:space="preserve"> : Matières premières, transport et stockage saisonnier.</t>
    </r>
  </si>
  <si>
    <r>
      <t>Tendance</t>
    </r>
    <r>
      <rPr>
        <sz val="11"/>
        <color theme="1"/>
        <rFont val="Aptos Narrow"/>
        <family val="2"/>
        <scheme val="minor"/>
      </rPr>
      <t xml:space="preserve"> : Croissance modérée mais régulière, dépend fortement des saisons et des infrastructures logistiques. Fort potentiel d’emploi local et de diversification de produits.</t>
    </r>
  </si>
  <si>
    <t>3. Manufactures légères</t>
  </si>
  <si>
    <r>
      <t>Production</t>
    </r>
    <r>
      <rPr>
        <sz val="11"/>
        <color theme="1"/>
        <rFont val="Aptos Narrow"/>
        <family val="2"/>
        <scheme val="minor"/>
      </rPr>
      <t xml:space="preserve"> : Total ~3 190 000 unités, bonne utilisation de la capacité.</t>
    </r>
  </si>
  <si>
    <r>
      <t>Emploi créé</t>
    </r>
    <r>
      <rPr>
        <sz val="11"/>
        <color theme="1"/>
        <rFont val="Aptos Narrow"/>
        <family val="2"/>
        <scheme val="minor"/>
      </rPr>
      <t xml:space="preserve"> : 4 140 emplois, taux élevé de féminisation (~43 %).</t>
    </r>
  </si>
  <si>
    <r>
      <t>IDE reçus</t>
    </r>
    <r>
      <rPr>
        <sz val="11"/>
        <color theme="1"/>
        <rFont val="Aptos Narrow"/>
        <family val="2"/>
        <scheme val="minor"/>
      </rPr>
      <t xml:space="preserve"> : 38,5 M USD.</t>
    </r>
  </si>
  <si>
    <r>
      <t>Contraintes clés</t>
    </r>
    <r>
      <rPr>
        <sz val="11"/>
        <color theme="1"/>
        <rFont val="Aptos Narrow"/>
        <family val="2"/>
        <scheme val="minor"/>
      </rPr>
      <t xml:space="preserve"> : Accès aux matières premières, logistique et marché local.</t>
    </r>
  </si>
  <si>
    <r>
      <t>Tendance</t>
    </r>
    <r>
      <rPr>
        <sz val="11"/>
        <color theme="1"/>
        <rFont val="Aptos Narrow"/>
        <family val="2"/>
        <scheme val="minor"/>
      </rPr>
      <t xml:space="preserve"> : Secteur orienté vers la consommation locale et export potentiel limité par les infrastructures. La féminisation et l’emploi jeune sont un point fort.</t>
    </r>
  </si>
  <si>
    <t>4. BTP &amp; Construction</t>
  </si>
  <si>
    <r>
      <t>Production</t>
    </r>
    <r>
      <rPr>
        <sz val="11"/>
        <color theme="1"/>
        <rFont val="Aptos Narrow"/>
        <family val="2"/>
        <scheme val="minor"/>
      </rPr>
      <t xml:space="preserve"> : Total ~2 910 000 m² construits. Certaines entreprises comme </t>
    </r>
    <r>
      <rPr>
        <i/>
        <sz val="11"/>
        <color theme="1"/>
        <rFont val="Aptos Narrow"/>
        <family val="2"/>
        <scheme val="minor"/>
      </rPr>
      <t>Roads &amp; Infra</t>
    </r>
    <r>
      <rPr>
        <sz val="11"/>
        <color theme="1"/>
        <rFont val="Aptos Narrow"/>
        <family val="2"/>
        <scheme val="minor"/>
      </rPr>
      <t xml:space="preserve"> dépassent la capacité installée grâce à des projets publics massifs.</t>
    </r>
  </si>
  <si>
    <r>
      <t>Emploi créé</t>
    </r>
    <r>
      <rPr>
        <sz val="11"/>
        <color theme="1"/>
        <rFont val="Aptos Narrow"/>
        <family val="2"/>
        <scheme val="minor"/>
      </rPr>
      <t xml:space="preserve"> : 17 400 emplois, faible féminisation (~9 %).</t>
    </r>
  </si>
  <si>
    <r>
      <t>IDE reçus</t>
    </r>
    <r>
      <rPr>
        <sz val="11"/>
        <color theme="1"/>
        <rFont val="Aptos Narrow"/>
        <family val="2"/>
        <scheme val="minor"/>
      </rPr>
      <t xml:space="preserve"> : 136 M USD, principalement pour grands projets.</t>
    </r>
  </si>
  <si>
    <r>
      <t>Contraintes clés</t>
    </r>
    <r>
      <rPr>
        <sz val="11"/>
        <color theme="1"/>
        <rFont val="Aptos Narrow"/>
        <family val="2"/>
        <scheme val="minor"/>
      </rPr>
      <t xml:space="preserve"> : Financement, coût matières premières, pénurie de main-d’œuvre qualifiée.</t>
    </r>
  </si>
  <si>
    <r>
      <t>Tendance</t>
    </r>
    <r>
      <rPr>
        <sz val="11"/>
        <color theme="1"/>
        <rFont val="Aptos Narrow"/>
        <family val="2"/>
        <scheme val="minor"/>
      </rPr>
      <t xml:space="preserve"> : Secteur très cyclique, dépend des projets publics et du financement. Forte création d’emplois masculins, mais sensibilité aux contraintes économiques.</t>
    </r>
  </si>
  <si>
    <t>5. Énergie</t>
  </si>
  <si>
    <r>
      <t>Production</t>
    </r>
    <r>
      <rPr>
        <sz val="11"/>
        <color theme="1"/>
        <rFont val="Aptos Narrow"/>
        <family val="2"/>
        <scheme val="minor"/>
      </rPr>
      <t xml:space="preserve"> : Total 5 680 GWh, dominée par grandes centrales hydro et thermique.</t>
    </r>
  </si>
  <si>
    <r>
      <t>Emploi créé</t>
    </r>
    <r>
      <rPr>
        <sz val="11"/>
        <color theme="1"/>
        <rFont val="Aptos Narrow"/>
        <family val="2"/>
        <scheme val="minor"/>
      </rPr>
      <t xml:space="preserve"> : 7 910 emplois, féminisation faible-moyenne (~17,8 %).</t>
    </r>
  </si>
  <si>
    <r>
      <t>IDE reçus</t>
    </r>
    <r>
      <rPr>
        <sz val="11"/>
        <color theme="1"/>
        <rFont val="Aptos Narrow"/>
        <family val="2"/>
        <scheme val="minor"/>
      </rPr>
      <t xml:space="preserve"> : 125 M USD, investissements concentrés sur projets hydro et solaire.</t>
    </r>
  </si>
  <si>
    <r>
      <t>Contraintes clés</t>
    </r>
    <r>
      <rPr>
        <sz val="11"/>
        <color theme="1"/>
        <rFont val="Aptos Narrow"/>
        <family val="2"/>
        <scheme val="minor"/>
      </rPr>
      <t xml:space="preserve"> : Fiabilité réseau, logistique, conditions naturelles (vents, saisons).</t>
    </r>
  </si>
  <si>
    <r>
      <t>Tendance</t>
    </r>
    <r>
      <rPr>
        <sz val="11"/>
        <color theme="1"/>
        <rFont val="Aptos Narrow"/>
        <family val="2"/>
        <scheme val="minor"/>
      </rPr>
      <t xml:space="preserve"> : Croissance soutenue mais dépendante des infrastructures et de la fiabilité énergétique. Transition vers les renouvelables (solaire, biomasse) observée mais à petite échelle.</t>
    </r>
  </si>
  <si>
    <t>✅ Résumé des tendances par indicateur</t>
  </si>
  <si>
    <t>Production totale</t>
  </si>
  <si>
    <t>Emplois totaux</t>
  </si>
  <si>
    <t>IDE totaux</t>
  </si>
  <si>
    <t>Tendance clé</t>
  </si>
  <si>
    <t>Très élevée</t>
  </si>
  <si>
    <t>Moyenne</t>
  </si>
  <si>
    <t>Faible</t>
  </si>
  <si>
    <t>Concentration sur grands acteurs, dépendance infrastructures</t>
  </si>
  <si>
    <t>Élevée</t>
  </si>
  <si>
    <t>Croissance régulière, main-d’œuvre féminine forte</t>
  </si>
  <si>
    <t>Moyenne-élevée</t>
  </si>
  <si>
    <t>Consommation locale, emploi jeune/féminin, dépendance matières</t>
  </si>
  <si>
    <t>Cyclique, dépend financement, faible féminisation</t>
  </si>
  <si>
    <t>Faible-moyenne</t>
  </si>
  <si>
    <t>Croissance soutenue, dépendance infrastructures et renouvelables</t>
  </si>
  <si>
    <r>
      <t xml:space="preserve">Si tu veux, je peux produire </t>
    </r>
    <r>
      <rPr>
        <b/>
        <sz val="11"/>
        <color theme="1"/>
        <rFont val="Aptos Narrow"/>
        <family val="2"/>
        <scheme val="minor"/>
      </rPr>
      <t>un graphique synthétique multi‑secteurs</t>
    </r>
    <r>
      <rPr>
        <sz val="11"/>
        <color theme="1"/>
        <rFont val="Aptos Narrow"/>
        <family val="2"/>
        <scheme val="minor"/>
      </rPr>
      <t xml:space="preserve"> combinant </t>
    </r>
    <r>
      <rPr>
        <b/>
        <sz val="11"/>
        <color theme="1"/>
        <rFont val="Aptos Narrow"/>
        <family val="2"/>
        <scheme val="minor"/>
      </rPr>
      <t>production, emploi et IDE</t>
    </r>
    <r>
      <rPr>
        <sz val="11"/>
        <color theme="1"/>
        <rFont val="Aptos Narrow"/>
        <family val="2"/>
        <scheme val="minor"/>
      </rPr>
      <t xml:space="preserve"> pour visualiser ces tendances.</t>
    </r>
  </si>
  <si>
    <t>Veux‑tu que je fasse ça ?</t>
  </si>
  <si>
    <t>MINES &amp; METALURGIE</t>
  </si>
  <si>
    <t>AGRO INDUSTRIE</t>
  </si>
  <si>
    <t>MANUFACTURES LEGERES</t>
  </si>
  <si>
    <t>BTP &amp; CONSTRUCTION</t>
  </si>
  <si>
    <t>ENERGIE</t>
  </si>
  <si>
    <t>CONSOLIDATION</t>
  </si>
  <si>
    <t>Nbre Emploi femmes</t>
  </si>
  <si>
    <t>Prod. Installée (t/y)</t>
  </si>
  <si>
    <t>Prod. Réalisée (t)</t>
  </si>
  <si>
    <t>Secteur Mine &amp; métalurgie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</si>
</sst>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164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9" fontId="0" fillId="0" borderId="0" xfId="2" applyFont="1" applyAlignment="1">
      <alignment horizontal="center" vertical="center" wrapText="1"/>
    </xf>
    <xf numFmtId="1" fontId="0" fillId="0" borderId="0" xfId="0" applyNumberFormat="1" applyAlignment="1">
      <alignment horizontal="right" vertical="center" wrapText="1"/>
    </xf>
    <xf numFmtId="165" fontId="0" fillId="0" borderId="0" xfId="1" applyNumberFormat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65" fontId="0" fillId="0" borderId="0" xfId="1" applyNumberFormat="1" applyFont="1"/>
    <xf numFmtId="165" fontId="0" fillId="0" borderId="0" xfId="0" applyNumberFormat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165" fontId="3" fillId="0" borderId="5" xfId="1" applyNumberFormat="1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0" fillId="0" borderId="0" xfId="0" applyNumberFormat="1" applyAlignment="1">
      <alignment horizontal="center" vertical="center" wrapText="1"/>
    </xf>
    <xf numFmtId="165" fontId="3" fillId="3" borderId="5" xfId="1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</cellXfs>
  <cellStyles count="3">
    <cellStyle name="Milliers" xfId="1" builtinId="3"/>
    <cellStyle name="Normal" xfId="0" builtinId="0"/>
    <cellStyle name="Pourcentage" xfId="2" builtinId="5"/>
  </cellStyles>
  <dxfs count="139"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"/>
      <alignment horizontal="center" vertical="center" textRotation="0" wrapText="1" indent="0" justifyLastLine="0" shrinkToFit="0" readingOrder="0"/>
    </dxf>
    <dxf>
      <numFmt numFmtId="165" formatCode="_-* #,##0_-;\-* #,##0_-;_-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_-* #,##0_-;\-* #,##0_-;_-* &quot;-&quot;??_-;_-@_-"/>
      <alignment horizontal="center" vertical="center" textRotation="0" wrapText="1" indent="0" justifyLastLine="0" shrinkToFit="0" readingOrder="0"/>
    </dxf>
    <dxf>
      <numFmt numFmtId="165" formatCode="_-* #,##0_-;\-* #,##0_-;_-* &quot;-&quot;??_-;_-@_-"/>
      <alignment horizontal="center" vertical="center" textRotation="0" wrapText="1" indent="0" justifyLastLine="0" shrinkToFit="0" readingOrder="0"/>
    </dxf>
    <dxf>
      <numFmt numFmtId="165" formatCode="_-* #,##0_-;\-* #,##0_-;_-* &quot;-&quot;??_-;_-@_-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numFmt numFmtId="1" formatCode="0"/>
      <alignment horizontal="right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_-* #,##0_-;\-* #,##0_-;_-* &quot;-&quot;??_-;_-@_-"/>
      <alignment horizontal="center" vertical="center" textRotation="0" wrapText="1" indent="0" justifyLastLine="0" shrinkToFit="0" readingOrder="0"/>
    </dxf>
    <dxf>
      <numFmt numFmtId="165" formatCode="_-* #,##0_-;\-* #,##0_-;_-* &quot;-&quot;??_-;_-@_-"/>
      <alignment horizontal="center" vertical="center" textRotation="0" wrapText="1" indent="0" justifyLastLine="0" shrinkToFit="0" readingOrder="0"/>
    </dxf>
    <dxf>
      <numFmt numFmtId="165" formatCode="_-* #,##0_-;\-* #,##0_-;_-* &quot;-&quot;??_-;_-@_-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IDE reçus (M USD) dans les mines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MINES!$G$10</c:f>
              <c:strCache>
                <c:ptCount val="1"/>
                <c:pt idx="0">
                  <c:v>IDE reçus (M 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MINES!$A$11:$A$15</c:f>
              <c:strCache>
                <c:ptCount val="5"/>
                <c:pt idx="0">
                  <c:v>MinEx Guinea</c:v>
                </c:pt>
                <c:pt idx="1">
                  <c:v>Alpha Metal</c:v>
                </c:pt>
                <c:pt idx="2">
                  <c:v>Guinée Bauxite SA</c:v>
                </c:pt>
                <c:pt idx="3">
                  <c:v>FerMiner</c:v>
                </c:pt>
                <c:pt idx="4">
                  <c:v>AllSteel Mining</c:v>
                </c:pt>
              </c:strCache>
            </c:strRef>
          </c:cat>
          <c:val>
            <c:numRef>
              <c:f>MINES!$G$11:$G$15</c:f>
              <c:numCache>
                <c:formatCode>0</c:formatCode>
                <c:ptCount val="5"/>
                <c:pt idx="0">
                  <c:v>45</c:v>
                </c:pt>
                <c:pt idx="1">
                  <c:v>38</c:v>
                </c:pt>
                <c:pt idx="2">
                  <c:v>110</c:v>
                </c:pt>
                <c:pt idx="3">
                  <c:v>22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2-4C19-9625-0AA06BD67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971487"/>
        <c:axId val="187975807"/>
      </c:barChart>
      <c:catAx>
        <c:axId val="187971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975807"/>
        <c:crosses val="autoZero"/>
        <c:auto val="1"/>
        <c:lblAlgn val="ctr"/>
        <c:lblOffset val="100"/>
        <c:noMultiLvlLbl val="0"/>
      </c:catAx>
      <c:valAx>
        <c:axId val="187975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97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Emploi dans les mines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MINES!$D$10</c:f>
              <c:strCache>
                <c:ptCount val="1"/>
                <c:pt idx="0">
                  <c:v>Emplois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MINES!$A$11:$A$15</c:f>
              <c:strCache>
                <c:ptCount val="5"/>
                <c:pt idx="0">
                  <c:v>MinEx Guinea</c:v>
                </c:pt>
                <c:pt idx="1">
                  <c:v>Alpha Metal</c:v>
                </c:pt>
                <c:pt idx="2">
                  <c:v>Guinée Bauxite SA</c:v>
                </c:pt>
                <c:pt idx="3">
                  <c:v>FerMiner</c:v>
                </c:pt>
                <c:pt idx="4">
                  <c:v>AllSteel Mining</c:v>
                </c:pt>
              </c:strCache>
            </c:strRef>
          </c:cat>
          <c:val>
            <c:numRef>
              <c:f>MINES!$D$11:$D$15</c:f>
              <c:numCache>
                <c:formatCode>_-* #\ ##0_-;\-* #\ ##0_-;_-* "-"??_-;_-@_-</c:formatCode>
                <c:ptCount val="5"/>
                <c:pt idx="0">
                  <c:v>1500</c:v>
                </c:pt>
                <c:pt idx="1">
                  <c:v>1100</c:v>
                </c:pt>
                <c:pt idx="2">
                  <c:v>4200</c:v>
                </c:pt>
                <c:pt idx="3">
                  <c:v>850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2-4C3A-9CFA-9812A2414C0C}"/>
            </c:ext>
          </c:extLst>
        </c:ser>
        <c:ser>
          <c:idx val="1"/>
          <c:order val="1"/>
          <c:tx>
            <c:strRef>
              <c:f>MINES!$F$10</c:f>
              <c:strCache>
                <c:ptCount val="1"/>
                <c:pt idx="0">
                  <c:v>Nbre Emploi femmes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MINES!$A$11:$A$15</c:f>
              <c:strCache>
                <c:ptCount val="5"/>
                <c:pt idx="0">
                  <c:v>MinEx Guinea</c:v>
                </c:pt>
                <c:pt idx="1">
                  <c:v>Alpha Metal</c:v>
                </c:pt>
                <c:pt idx="2">
                  <c:v>Guinée Bauxite SA</c:v>
                </c:pt>
                <c:pt idx="3">
                  <c:v>FerMiner</c:v>
                </c:pt>
                <c:pt idx="4">
                  <c:v>AllSteel Mining</c:v>
                </c:pt>
              </c:strCache>
            </c:strRef>
          </c:cat>
          <c:val>
            <c:numRef>
              <c:f>MINES!$F$11:$F$15</c:f>
              <c:numCache>
                <c:formatCode>0</c:formatCode>
                <c:ptCount val="5"/>
                <c:pt idx="0" formatCode="General">
                  <c:v>180</c:v>
                </c:pt>
                <c:pt idx="1">
                  <c:v>110</c:v>
                </c:pt>
                <c:pt idx="2">
                  <c:v>630</c:v>
                </c:pt>
                <c:pt idx="3">
                  <c:v>76.5</c:v>
                </c:pt>
                <c:pt idx="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B2-4C3A-9CFA-9812A2414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970527"/>
        <c:axId val="187973887"/>
      </c:barChart>
      <c:catAx>
        <c:axId val="18797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973887"/>
        <c:crosses val="autoZero"/>
        <c:auto val="1"/>
        <c:lblAlgn val="ctr"/>
        <c:lblOffset val="100"/>
        <c:noMultiLvlLbl val="0"/>
      </c:catAx>
      <c:valAx>
        <c:axId val="18797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97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Production minière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MINES!$B$10</c:f>
              <c:strCache>
                <c:ptCount val="1"/>
                <c:pt idx="0">
                  <c:v>Prod. Installée (t/y)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MINES!$A$11:$A$15</c:f>
              <c:strCache>
                <c:ptCount val="5"/>
                <c:pt idx="0">
                  <c:v>MinEx Guinea</c:v>
                </c:pt>
                <c:pt idx="1">
                  <c:v>Alpha Metal</c:v>
                </c:pt>
                <c:pt idx="2">
                  <c:v>Guinée Bauxite SA</c:v>
                </c:pt>
                <c:pt idx="3">
                  <c:v>FerMiner</c:v>
                </c:pt>
                <c:pt idx="4">
                  <c:v>AllSteel Mining</c:v>
                </c:pt>
              </c:strCache>
            </c:strRef>
          </c:cat>
          <c:val>
            <c:numRef>
              <c:f>MINES!$B$11:$B$15</c:f>
              <c:numCache>
                <c:formatCode>_-* #\ ##0_-;\-* #\ ##0_-;_-* "-"??_-;_-@_-</c:formatCode>
                <c:ptCount val="5"/>
                <c:pt idx="0">
                  <c:v>1200000</c:v>
                </c:pt>
                <c:pt idx="1">
                  <c:v>950000</c:v>
                </c:pt>
                <c:pt idx="2">
                  <c:v>3000000</c:v>
                </c:pt>
                <c:pt idx="3">
                  <c:v>700000</c:v>
                </c:pt>
                <c:pt idx="4">
                  <c:v>880000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F-4005-87B4-14BD6D9C37DD}"/>
            </c:ext>
          </c:extLst>
        </c:ser>
        <c:ser>
          <c:idx val="1"/>
          <c:order val="1"/>
          <c:tx>
            <c:strRef>
              <c:f>MINES!$C$10</c:f>
              <c:strCache>
                <c:ptCount val="1"/>
                <c:pt idx="0">
                  <c:v>Prod. Réalisée (t)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MINES!$A$11:$A$15</c:f>
              <c:strCache>
                <c:ptCount val="5"/>
                <c:pt idx="0">
                  <c:v>MinEx Guinea</c:v>
                </c:pt>
                <c:pt idx="1">
                  <c:v>Alpha Metal</c:v>
                </c:pt>
                <c:pt idx="2">
                  <c:v>Guinée Bauxite SA</c:v>
                </c:pt>
                <c:pt idx="3">
                  <c:v>FerMiner</c:v>
                </c:pt>
                <c:pt idx="4">
                  <c:v>AllSteel Mining</c:v>
                </c:pt>
              </c:strCache>
            </c:strRef>
          </c:cat>
          <c:val>
            <c:numRef>
              <c:f>MINES!$C$11:$C$15</c:f>
              <c:numCache>
                <c:formatCode>_-* #\ ##0_-;\-* #\ ##0_-;_-* "-"??_-;_-@_-</c:formatCode>
                <c:ptCount val="5"/>
                <c:pt idx="0">
                  <c:v>1050000</c:v>
                </c:pt>
                <c:pt idx="1">
                  <c:v>820000</c:v>
                </c:pt>
                <c:pt idx="2">
                  <c:v>2750000</c:v>
                </c:pt>
                <c:pt idx="3">
                  <c:v>550000</c:v>
                </c:pt>
                <c:pt idx="4">
                  <c:v>820000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DF-4005-87B4-14BD6D9C3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90291183"/>
        <c:axId val="190292143"/>
      </c:barChart>
      <c:catAx>
        <c:axId val="19029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292143"/>
        <c:crosses val="autoZero"/>
        <c:auto val="1"/>
        <c:lblAlgn val="ctr"/>
        <c:lblOffset val="100"/>
        <c:noMultiLvlLbl val="0"/>
      </c:catAx>
      <c:valAx>
        <c:axId val="1902921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29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emploi</a:t>
            </a:r>
            <a:r>
              <a:rPr lang="fr-FR" baseline="0"/>
              <a:t> dans l'agro-industrie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AGROINDUS!$E$2</c:f>
              <c:strCache>
                <c:ptCount val="1"/>
                <c:pt idx="0">
                  <c:v>Emplois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AGROINDUS!$A$3:$A$7</c:f>
              <c:strCache>
                <c:ptCount val="5"/>
                <c:pt idx="0">
                  <c:v>AgroPlus</c:v>
                </c:pt>
                <c:pt idx="1">
                  <c:v>GrainMaster</c:v>
                </c:pt>
                <c:pt idx="2">
                  <c:v>FruitCo</c:v>
                </c:pt>
                <c:pt idx="3">
                  <c:v>AgroEast</c:v>
                </c:pt>
                <c:pt idx="4">
                  <c:v>NutriFoods</c:v>
                </c:pt>
              </c:strCache>
            </c:strRef>
          </c:cat>
          <c:val>
            <c:numRef>
              <c:f>AGROINDUS!$E$3:$E$7</c:f>
              <c:numCache>
                <c:formatCode>_-* #\ ##0_-;\-* #\ ##0_-;_-* "-"??_-;_-@_-</c:formatCode>
                <c:ptCount val="5"/>
                <c:pt idx="0">
                  <c:v>420</c:v>
                </c:pt>
                <c:pt idx="1">
                  <c:v>560</c:v>
                </c:pt>
                <c:pt idx="2">
                  <c:v>290</c:v>
                </c:pt>
                <c:pt idx="3">
                  <c:v>510</c:v>
                </c:pt>
                <c:pt idx="4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C-44C4-97A4-E47FB7BFCCE9}"/>
            </c:ext>
          </c:extLst>
        </c:ser>
        <c:ser>
          <c:idx val="1"/>
          <c:order val="1"/>
          <c:tx>
            <c:strRef>
              <c:f>AGROINDUS!$G$2</c:f>
              <c:strCache>
                <c:ptCount val="1"/>
                <c:pt idx="0">
                  <c:v>Nbre Emploi femmes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AGROINDUS!$A$3:$A$7</c:f>
              <c:strCache>
                <c:ptCount val="5"/>
                <c:pt idx="0">
                  <c:v>AgroPlus</c:v>
                </c:pt>
                <c:pt idx="1">
                  <c:v>GrainMaster</c:v>
                </c:pt>
                <c:pt idx="2">
                  <c:v>FruitCo</c:v>
                </c:pt>
                <c:pt idx="3">
                  <c:v>AgroEast</c:v>
                </c:pt>
                <c:pt idx="4">
                  <c:v>NutriFoods</c:v>
                </c:pt>
              </c:strCache>
            </c:strRef>
          </c:cat>
          <c:val>
            <c:numRef>
              <c:f>AGROINDUS!$G$3:$G$7</c:f>
              <c:numCache>
                <c:formatCode>_-* #\ ##0_-;\-* #\ ##0_-;_-* "-"??_-;_-@_-</c:formatCode>
                <c:ptCount val="5"/>
                <c:pt idx="0">
                  <c:v>176.4</c:v>
                </c:pt>
                <c:pt idx="1">
                  <c:v>212.8</c:v>
                </c:pt>
                <c:pt idx="2">
                  <c:v>136.29999999999998</c:v>
                </c:pt>
                <c:pt idx="3">
                  <c:v>204</c:v>
                </c:pt>
                <c:pt idx="4">
                  <c:v>272.8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CC-44C4-97A4-E47FB7BFC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90290703"/>
        <c:axId val="190282063"/>
      </c:barChart>
      <c:catAx>
        <c:axId val="19029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282063"/>
        <c:crosses val="autoZero"/>
        <c:auto val="1"/>
        <c:lblAlgn val="ctr"/>
        <c:lblOffset val="100"/>
        <c:noMultiLvlLbl val="0"/>
      </c:catAx>
      <c:valAx>
        <c:axId val="1902820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29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Production agro-industrielle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AGROINDUS!$C$2</c:f>
              <c:strCache>
                <c:ptCount val="1"/>
                <c:pt idx="0">
                  <c:v>Prod. installée (t/y)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AGROINDUS!$A$3:$A$7</c:f>
              <c:strCache>
                <c:ptCount val="5"/>
                <c:pt idx="0">
                  <c:v>AgroPlus</c:v>
                </c:pt>
                <c:pt idx="1">
                  <c:v>GrainMaster</c:v>
                </c:pt>
                <c:pt idx="2">
                  <c:v>FruitCo</c:v>
                </c:pt>
                <c:pt idx="3">
                  <c:v>AgroEast</c:v>
                </c:pt>
                <c:pt idx="4">
                  <c:v>NutriFoods</c:v>
                </c:pt>
              </c:strCache>
            </c:strRef>
          </c:cat>
          <c:val>
            <c:numRef>
              <c:f>AGROINDUS!$C$3:$C$7</c:f>
              <c:numCache>
                <c:formatCode>_-* #\ ##0_-;\-* #\ ##0_-;_-* "-"??_-;_-@_-</c:formatCode>
                <c:ptCount val="5"/>
                <c:pt idx="0">
                  <c:v>50000</c:v>
                </c:pt>
                <c:pt idx="1">
                  <c:v>75000</c:v>
                </c:pt>
                <c:pt idx="2">
                  <c:v>30000</c:v>
                </c:pt>
                <c:pt idx="3">
                  <c:v>60000</c:v>
                </c:pt>
                <c:pt idx="4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6-4C27-A1B4-B019E170952F}"/>
            </c:ext>
          </c:extLst>
        </c:ser>
        <c:ser>
          <c:idx val="1"/>
          <c:order val="1"/>
          <c:tx>
            <c:strRef>
              <c:f>AGROINDUS!$D$2</c:f>
              <c:strCache>
                <c:ptCount val="1"/>
                <c:pt idx="0">
                  <c:v>Prod. réalisée (t)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AGROINDUS!$A$3:$A$7</c:f>
              <c:strCache>
                <c:ptCount val="5"/>
                <c:pt idx="0">
                  <c:v>AgroPlus</c:v>
                </c:pt>
                <c:pt idx="1">
                  <c:v>GrainMaster</c:v>
                </c:pt>
                <c:pt idx="2">
                  <c:v>FruitCo</c:v>
                </c:pt>
                <c:pt idx="3">
                  <c:v>AgroEast</c:v>
                </c:pt>
                <c:pt idx="4">
                  <c:v>NutriFoods</c:v>
                </c:pt>
              </c:strCache>
            </c:strRef>
          </c:cat>
          <c:val>
            <c:numRef>
              <c:f>AGROINDUS!$D$3:$D$7</c:f>
              <c:numCache>
                <c:formatCode>_-* #\ ##0_-;\-* #\ ##0_-;_-* "-"??_-;_-@_-</c:formatCode>
                <c:ptCount val="5"/>
                <c:pt idx="0">
                  <c:v>48200</c:v>
                </c:pt>
                <c:pt idx="1">
                  <c:v>70300</c:v>
                </c:pt>
                <c:pt idx="2">
                  <c:v>29500</c:v>
                </c:pt>
                <c:pt idx="3">
                  <c:v>57000</c:v>
                </c:pt>
                <c:pt idx="4">
                  <c:v>75500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46-4C27-A1B4-B019E1709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190279663"/>
        <c:axId val="190284463"/>
      </c:barChart>
      <c:catAx>
        <c:axId val="190279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284463"/>
        <c:crosses val="autoZero"/>
        <c:auto val="1"/>
        <c:lblAlgn val="ctr"/>
        <c:lblOffset val="100"/>
        <c:noMultiLvlLbl val="0"/>
      </c:catAx>
      <c:valAx>
        <c:axId val="190284463"/>
        <c:scaling>
          <c:orientation val="minMax"/>
        </c:scaling>
        <c:delete val="0"/>
        <c:axPos val="b"/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27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IDE reçus (M USD) dans l'Agro-Industrie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AGROINDUS!$H$2</c:f>
              <c:strCache>
                <c:ptCount val="1"/>
                <c:pt idx="0">
                  <c:v>IDE reçus (M 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AGROINDUS!$A$3:$A$7</c:f>
              <c:strCache>
                <c:ptCount val="5"/>
                <c:pt idx="0">
                  <c:v>AgroPlus</c:v>
                </c:pt>
                <c:pt idx="1">
                  <c:v>GrainMaster</c:v>
                </c:pt>
                <c:pt idx="2">
                  <c:v>FruitCo</c:v>
                </c:pt>
                <c:pt idx="3">
                  <c:v>AgroEast</c:v>
                </c:pt>
                <c:pt idx="4">
                  <c:v>NutriFoods</c:v>
                </c:pt>
              </c:strCache>
            </c:strRef>
          </c:cat>
          <c:val>
            <c:numRef>
              <c:f>AGROINDUS!$H$3:$H$7</c:f>
              <c:numCache>
                <c:formatCode>0.0</c:formatCode>
                <c:ptCount val="5"/>
                <c:pt idx="0">
                  <c:v>5</c:v>
                </c:pt>
                <c:pt idx="1">
                  <c:v>8</c:v>
                </c:pt>
                <c:pt idx="2">
                  <c:v>3.2</c:v>
                </c:pt>
                <c:pt idx="3">
                  <c:v>6.4</c:v>
                </c:pt>
                <c:pt idx="4">
                  <c:v>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E-46C1-863B-A82A826B6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287343"/>
        <c:axId val="190295983"/>
      </c:barChart>
      <c:catAx>
        <c:axId val="190287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295983"/>
        <c:crosses val="autoZero"/>
        <c:auto val="1"/>
        <c:lblAlgn val="ctr"/>
        <c:lblOffset val="100"/>
        <c:noMultiLvlLbl val="0"/>
      </c:catAx>
      <c:valAx>
        <c:axId val="19029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28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190500</xdr:colOff>
      <xdr:row>0</xdr:row>
      <xdr:rowOff>0</xdr:rowOff>
    </xdr:from>
    <xdr:to>
      <xdr:col>28</xdr:col>
      <xdr:colOff>571500</xdr:colOff>
      <xdr:row>19</xdr:row>
      <xdr:rowOff>0</xdr:rowOff>
    </xdr:to>
    <xdr:pic>
      <xdr:nvPicPr>
        <xdr:cNvPr id="2" name="Image 1" descr="Sortie diagramme">
          <a:extLst>
            <a:ext uri="{FF2B5EF4-FFF2-40B4-BE49-F238E27FC236}">
              <a16:creationId xmlns:a16="http://schemas.microsoft.com/office/drawing/2014/main" id="{FA163FC1-E480-FCC6-53D4-C56DAFFA8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7775" y="0"/>
          <a:ext cx="5715000" cy="571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304800</xdr:colOff>
      <xdr:row>44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E77CAD82-A2E8-78EC-93F9-CA139F1AFCA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46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304800</xdr:colOff>
      <xdr:row>44</xdr:row>
      <xdr:rowOff>304800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F5D4D0D9-06DA-D894-744E-590888A2B3EA}"/>
            </a:ext>
          </a:extLst>
        </xdr:cNvPr>
        <xdr:cNvSpPr>
          <a:spLocks noChangeAspect="1" noChangeArrowheads="1"/>
        </xdr:cNvSpPr>
      </xdr:nvSpPr>
      <xdr:spPr bwMode="auto">
        <a:xfrm>
          <a:off x="9906000" y="146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304800</xdr:colOff>
      <xdr:row>44</xdr:row>
      <xdr:rowOff>304800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BEC55F1B-10E5-7B30-A1BE-D05F2C5130B7}"/>
            </a:ext>
          </a:extLst>
        </xdr:cNvPr>
        <xdr:cNvSpPr>
          <a:spLocks noChangeAspect="1" noChangeArrowheads="1"/>
        </xdr:cNvSpPr>
      </xdr:nvSpPr>
      <xdr:spPr bwMode="auto">
        <a:xfrm>
          <a:off x="9906000" y="146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47625</xdr:colOff>
      <xdr:row>43</xdr:row>
      <xdr:rowOff>28575</xdr:rowOff>
    </xdr:from>
    <xdr:to>
      <xdr:col>18</xdr:col>
      <xdr:colOff>47625</xdr:colOff>
      <xdr:row>60</xdr:row>
      <xdr:rowOff>28575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CCA13FE-23E0-BABB-E807-ACA9B3836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8900" y="12220575"/>
          <a:ext cx="7620000" cy="571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190500</xdr:colOff>
      <xdr:row>0</xdr:row>
      <xdr:rowOff>0</xdr:rowOff>
    </xdr:from>
    <xdr:to>
      <xdr:col>28</xdr:col>
      <xdr:colOff>571500</xdr:colOff>
      <xdr:row>39</xdr:row>
      <xdr:rowOff>28575</xdr:rowOff>
    </xdr:to>
    <xdr:pic>
      <xdr:nvPicPr>
        <xdr:cNvPr id="2" name="Image 1" descr="Sortie diagramme">
          <a:extLst>
            <a:ext uri="{FF2B5EF4-FFF2-40B4-BE49-F238E27FC236}">
              <a16:creationId xmlns:a16="http://schemas.microsoft.com/office/drawing/2014/main" id="{240F40AF-0355-40C9-8D7D-18848B161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7775" y="0"/>
          <a:ext cx="5715000" cy="571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304800</xdr:colOff>
      <xdr:row>10</xdr:row>
      <xdr:rowOff>152400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1A8EDDA-8D16-4D26-A8C5-F18790279832}"/>
            </a:ext>
          </a:extLst>
        </xdr:cNvPr>
        <xdr:cNvSpPr>
          <a:spLocks noChangeAspect="1" noChangeArrowheads="1"/>
        </xdr:cNvSpPr>
      </xdr:nvSpPr>
      <xdr:spPr bwMode="auto">
        <a:xfrm>
          <a:off x="12487275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152400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2E5DF8AC-1F22-4B21-899B-DB94C7B1094D}"/>
            </a:ext>
          </a:extLst>
        </xdr:cNvPr>
        <xdr:cNvSpPr>
          <a:spLocks noChangeAspect="1" noChangeArrowheads="1"/>
        </xdr:cNvSpPr>
      </xdr:nvSpPr>
      <xdr:spPr bwMode="auto">
        <a:xfrm>
          <a:off x="14011275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152400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A6E6187C-17AE-4409-ABAC-20AA3E2DA19F}"/>
            </a:ext>
          </a:extLst>
        </xdr:cNvPr>
        <xdr:cNvSpPr>
          <a:spLocks noChangeAspect="1" noChangeArrowheads="1"/>
        </xdr:cNvSpPr>
      </xdr:nvSpPr>
      <xdr:spPr bwMode="auto">
        <a:xfrm>
          <a:off x="14011275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20</xdr:row>
      <xdr:rowOff>142875</xdr:rowOff>
    </xdr:from>
    <xdr:to>
      <xdr:col>2</xdr:col>
      <xdr:colOff>695325</xdr:colOff>
      <xdr:row>30</xdr:row>
      <xdr:rowOff>66675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68E28022-2370-E80E-8E75-7E764ACED7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704850</xdr:colOff>
      <xdr:row>20</xdr:row>
      <xdr:rowOff>152399</xdr:rowOff>
    </xdr:from>
    <xdr:to>
      <xdr:col>4</xdr:col>
      <xdr:colOff>723900</xdr:colOff>
      <xdr:row>30</xdr:row>
      <xdr:rowOff>76200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E6155006-16A1-8336-4BDE-FB67B94FC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733425</xdr:colOff>
      <xdr:row>20</xdr:row>
      <xdr:rowOff>161925</xdr:rowOff>
    </xdr:from>
    <xdr:to>
      <xdr:col>6</xdr:col>
      <xdr:colOff>1114425</xdr:colOff>
      <xdr:row>30</xdr:row>
      <xdr:rowOff>76200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AB5C6C89-14B6-E982-61FA-BF8E64F73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953C329-BE0C-4838-8818-BFBE2DD51ECF}"/>
            </a:ext>
          </a:extLst>
        </xdr:cNvPr>
        <xdr:cNvSpPr>
          <a:spLocks noChangeAspect="1" noChangeArrowheads="1"/>
        </xdr:cNvSpPr>
      </xdr:nvSpPr>
      <xdr:spPr bwMode="auto">
        <a:xfrm>
          <a:off x="12487275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1673D0E9-5917-4880-8EAD-B48794B98505}"/>
            </a:ext>
          </a:extLst>
        </xdr:cNvPr>
        <xdr:cNvSpPr>
          <a:spLocks noChangeAspect="1" noChangeArrowheads="1"/>
        </xdr:cNvSpPr>
      </xdr:nvSpPr>
      <xdr:spPr bwMode="auto">
        <a:xfrm>
          <a:off x="14011275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4891F3A1-0E8C-4DF9-8EFC-38908EF9706B}"/>
            </a:ext>
          </a:extLst>
        </xdr:cNvPr>
        <xdr:cNvSpPr>
          <a:spLocks noChangeAspect="1" noChangeArrowheads="1"/>
        </xdr:cNvSpPr>
      </xdr:nvSpPr>
      <xdr:spPr bwMode="auto">
        <a:xfrm>
          <a:off x="14011275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180975</xdr:colOff>
      <xdr:row>11</xdr:row>
      <xdr:rowOff>14287</xdr:rowOff>
    </xdr:from>
    <xdr:to>
      <xdr:col>3</xdr:col>
      <xdr:colOff>828675</xdr:colOff>
      <xdr:row>25</xdr:row>
      <xdr:rowOff>90487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9C84F918-DE6D-273A-BF4F-980CA45AE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</xdr:colOff>
      <xdr:row>10</xdr:row>
      <xdr:rowOff>185737</xdr:rowOff>
    </xdr:from>
    <xdr:to>
      <xdr:col>7</xdr:col>
      <xdr:colOff>647700</xdr:colOff>
      <xdr:row>27</xdr:row>
      <xdr:rowOff>161925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E5109377-0A55-75D4-6924-8C1045697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847725</xdr:colOff>
      <xdr:row>10</xdr:row>
      <xdr:rowOff>166687</xdr:rowOff>
    </xdr:from>
    <xdr:to>
      <xdr:col>13</xdr:col>
      <xdr:colOff>685800</xdr:colOff>
      <xdr:row>26</xdr:row>
      <xdr:rowOff>1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46E4B2BF-7772-8727-6884-61C72C5A2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190500</xdr:colOff>
      <xdr:row>0</xdr:row>
      <xdr:rowOff>0</xdr:rowOff>
    </xdr:from>
    <xdr:to>
      <xdr:col>28</xdr:col>
      <xdr:colOff>571500</xdr:colOff>
      <xdr:row>43</xdr:row>
      <xdr:rowOff>0</xdr:rowOff>
    </xdr:to>
    <xdr:pic>
      <xdr:nvPicPr>
        <xdr:cNvPr id="2" name="Image 1" descr="Sortie diagramme">
          <a:extLst>
            <a:ext uri="{FF2B5EF4-FFF2-40B4-BE49-F238E27FC236}">
              <a16:creationId xmlns:a16="http://schemas.microsoft.com/office/drawing/2014/main" id="{9B6CF971-3551-4A36-A00C-13B11709D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7775" y="0"/>
          <a:ext cx="5715000" cy="571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F8B89B0B-CF60-4914-93BF-68BF2FC97576}"/>
            </a:ext>
          </a:extLst>
        </xdr:cNvPr>
        <xdr:cNvSpPr>
          <a:spLocks noChangeAspect="1" noChangeArrowheads="1"/>
        </xdr:cNvSpPr>
      </xdr:nvSpPr>
      <xdr:spPr bwMode="auto">
        <a:xfrm>
          <a:off x="12487275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E8D3042F-FE98-4F38-80F9-DA1F017A8211}"/>
            </a:ext>
          </a:extLst>
        </xdr:cNvPr>
        <xdr:cNvSpPr>
          <a:spLocks noChangeAspect="1" noChangeArrowheads="1"/>
        </xdr:cNvSpPr>
      </xdr:nvSpPr>
      <xdr:spPr bwMode="auto">
        <a:xfrm>
          <a:off x="14011275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32BAAA9B-2F2A-4515-82D8-1F0C273DF437}"/>
            </a:ext>
          </a:extLst>
        </xdr:cNvPr>
        <xdr:cNvSpPr>
          <a:spLocks noChangeAspect="1" noChangeArrowheads="1"/>
        </xdr:cNvSpPr>
      </xdr:nvSpPr>
      <xdr:spPr bwMode="auto">
        <a:xfrm>
          <a:off x="14011275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2A978C6A-ACBE-4F3B-A857-F90288F46553}"/>
            </a:ext>
          </a:extLst>
        </xdr:cNvPr>
        <xdr:cNvSpPr>
          <a:spLocks noChangeAspect="1" noChangeArrowheads="1"/>
        </xdr:cNvSpPr>
      </xdr:nvSpPr>
      <xdr:spPr bwMode="auto">
        <a:xfrm>
          <a:off x="12487275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EC6DEE6A-6AFB-4424-B5D6-D4D3D0730FB0}"/>
            </a:ext>
          </a:extLst>
        </xdr:cNvPr>
        <xdr:cNvSpPr>
          <a:spLocks noChangeAspect="1" noChangeArrowheads="1"/>
        </xdr:cNvSpPr>
      </xdr:nvSpPr>
      <xdr:spPr bwMode="auto">
        <a:xfrm>
          <a:off x="14011275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FC32E5FA-B73D-429F-B8CC-F22211EF9125}"/>
            </a:ext>
          </a:extLst>
        </xdr:cNvPr>
        <xdr:cNvSpPr>
          <a:spLocks noChangeAspect="1" noChangeArrowheads="1"/>
        </xdr:cNvSpPr>
      </xdr:nvSpPr>
      <xdr:spPr bwMode="auto">
        <a:xfrm>
          <a:off x="14011275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190500</xdr:colOff>
      <xdr:row>0</xdr:row>
      <xdr:rowOff>0</xdr:rowOff>
    </xdr:from>
    <xdr:to>
      <xdr:col>28</xdr:col>
      <xdr:colOff>571500</xdr:colOff>
      <xdr:row>45</xdr:row>
      <xdr:rowOff>0</xdr:rowOff>
    </xdr:to>
    <xdr:pic>
      <xdr:nvPicPr>
        <xdr:cNvPr id="2" name="Image 1" descr="Sortie diagramme">
          <a:extLst>
            <a:ext uri="{FF2B5EF4-FFF2-40B4-BE49-F238E27FC236}">
              <a16:creationId xmlns:a16="http://schemas.microsoft.com/office/drawing/2014/main" id="{246AF2D1-673F-4682-8EC3-458557389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7775" y="0"/>
          <a:ext cx="5715000" cy="571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229C580-CB3C-4589-94C8-54AFC4098090}"/>
            </a:ext>
          </a:extLst>
        </xdr:cNvPr>
        <xdr:cNvSpPr>
          <a:spLocks noChangeAspect="1" noChangeArrowheads="1"/>
        </xdr:cNvSpPr>
      </xdr:nvSpPr>
      <xdr:spPr bwMode="auto">
        <a:xfrm>
          <a:off x="12487275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22ADFD6B-726D-4613-8448-44CA586E6805}"/>
            </a:ext>
          </a:extLst>
        </xdr:cNvPr>
        <xdr:cNvSpPr>
          <a:spLocks noChangeAspect="1" noChangeArrowheads="1"/>
        </xdr:cNvSpPr>
      </xdr:nvSpPr>
      <xdr:spPr bwMode="auto">
        <a:xfrm>
          <a:off x="14011275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D2B79E03-A74B-4546-8BD0-27B9D8BD22D9}"/>
            </a:ext>
          </a:extLst>
        </xdr:cNvPr>
        <xdr:cNvSpPr>
          <a:spLocks noChangeAspect="1" noChangeArrowheads="1"/>
        </xdr:cNvSpPr>
      </xdr:nvSpPr>
      <xdr:spPr bwMode="auto">
        <a:xfrm>
          <a:off x="14011275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190500</xdr:colOff>
      <xdr:row>0</xdr:row>
      <xdr:rowOff>0</xdr:rowOff>
    </xdr:from>
    <xdr:to>
      <xdr:col>28</xdr:col>
      <xdr:colOff>571500</xdr:colOff>
      <xdr:row>30</xdr:row>
      <xdr:rowOff>161925</xdr:rowOff>
    </xdr:to>
    <xdr:pic>
      <xdr:nvPicPr>
        <xdr:cNvPr id="2" name="Image 1" descr="Sortie diagramme">
          <a:extLst>
            <a:ext uri="{FF2B5EF4-FFF2-40B4-BE49-F238E27FC236}">
              <a16:creationId xmlns:a16="http://schemas.microsoft.com/office/drawing/2014/main" id="{063525D6-0B26-4332-841A-7A9F0CF5E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7775" y="0"/>
          <a:ext cx="5715000" cy="571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304800</xdr:colOff>
      <xdr:row>3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24050140-851B-44C1-A076-AE6E3F7EE77B}"/>
            </a:ext>
          </a:extLst>
        </xdr:cNvPr>
        <xdr:cNvSpPr>
          <a:spLocks noChangeAspect="1" noChangeArrowheads="1"/>
        </xdr:cNvSpPr>
      </xdr:nvSpPr>
      <xdr:spPr bwMode="auto">
        <a:xfrm>
          <a:off x="12487275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304800</xdr:colOff>
      <xdr:row>3</xdr:row>
      <xdr:rowOff>114300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C0B00505-F6B1-45E7-AF97-221C19454FBD}"/>
            </a:ext>
          </a:extLst>
        </xdr:cNvPr>
        <xdr:cNvSpPr>
          <a:spLocks noChangeAspect="1" noChangeArrowheads="1"/>
        </xdr:cNvSpPr>
      </xdr:nvSpPr>
      <xdr:spPr bwMode="auto">
        <a:xfrm>
          <a:off x="14011275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304800</xdr:colOff>
      <xdr:row>3</xdr:row>
      <xdr:rowOff>114300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6DE5DA7-87FE-4290-8BC6-400EA5681A60}"/>
            </a:ext>
          </a:extLst>
        </xdr:cNvPr>
        <xdr:cNvSpPr>
          <a:spLocks noChangeAspect="1" noChangeArrowheads="1"/>
        </xdr:cNvSpPr>
      </xdr:nvSpPr>
      <xdr:spPr bwMode="auto">
        <a:xfrm>
          <a:off x="14011275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77</xdr:row>
      <xdr:rowOff>0</xdr:rowOff>
    </xdr:from>
    <xdr:to>
      <xdr:col>23</xdr:col>
      <xdr:colOff>381000</xdr:colOff>
      <xdr:row>81</xdr:row>
      <xdr:rowOff>571500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A308701-34FF-64AB-F238-B18E825B3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0" y="15468600"/>
          <a:ext cx="9525000" cy="571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834188-FB5F-41C6-AAC3-70CE7315D586}" name="Tableau1" displayName="Tableau1" ref="A2:I7" totalsRowShown="0" headerRowDxfId="138" dataDxfId="137">
  <autoFilter ref="A2:I7" xr:uid="{C4834188-FB5F-41C6-AAC3-70CE7315D586}"/>
  <tableColumns count="9">
    <tableColumn id="1" xr3:uid="{BF703B24-0D2D-467F-9D41-B5CB58270A14}" name="Nom entreprise" dataDxfId="136"/>
    <tableColumn id="2" xr3:uid="{0F5ED1E2-9EAF-4CF8-B4EB-CDAC51813D93}" name="Région" dataDxfId="135"/>
    <tableColumn id="3" xr3:uid="{F3D5BFDE-CCA3-43F0-AB9B-092A59B79E27}" name="Prod. installée" dataDxfId="134"/>
    <tableColumn id="4" xr3:uid="{D7F36763-ABB3-46E9-AB19-75C407185F24}" name="Prod. réalisée" dataDxfId="133"/>
    <tableColumn id="5" xr3:uid="{F88801A1-0C6C-40B8-A360-B9D242F81A7A}" name="Emplois" dataDxfId="132"/>
    <tableColumn id="6" xr3:uid="{9435F66F-B5E4-4531-8EE2-759F58E4D5BD}" name="% Emploi femmes" dataDxfId="131"/>
    <tableColumn id="7" xr3:uid="{7AAC1F06-CB6A-4AFA-A0DC-61FF1CBBFC5C}" name="IDE reçus (M USD)" dataDxfId="130"/>
    <tableColumn id="8" xr3:uid="{565846BA-913C-4FB5-A4B4-5369F4175FE4}" name="Contraintes" dataDxfId="129"/>
    <tableColumn id="9" xr3:uid="{5B67CD08-7403-43BF-AFA7-60772D2AC54B}" name="Maj" dataDxfId="1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CEDC53-876A-49A4-A760-AA6F9143AAF1}" name="Tableau2" displayName="Tableau2" ref="A10:I15" totalsRowShown="0" headerRowDxfId="127" dataDxfId="126">
  <autoFilter ref="A10:I15" xr:uid="{CDCEDC53-876A-49A4-A760-AA6F9143AAF1}"/>
  <tableColumns count="9">
    <tableColumn id="1" xr3:uid="{9C419351-AC11-4639-912B-EAFC9C26E03C}" name="Nom entreprise" dataDxfId="125"/>
    <tableColumn id="2" xr3:uid="{90F25368-7F4A-4FB1-9B98-7A6BC0420781}" name="Région" dataDxfId="124"/>
    <tableColumn id="3" xr3:uid="{8DF61AD5-2252-47AA-8A10-D0C7EAF88C48}" name="Prod. installée (t/y)" dataDxfId="123"/>
    <tableColumn id="4" xr3:uid="{DF7F4BD1-040A-476E-95CD-876DFA11DADE}" name="Prod. réalisée (t)" dataDxfId="122"/>
    <tableColumn id="5" xr3:uid="{77659CE7-3FCA-4FBD-8556-0FA4EB794A9D}" name="Emplois" dataDxfId="121"/>
    <tableColumn id="6" xr3:uid="{36CC4F1E-A18E-4E0A-91B7-373E3CA01C9D}" name="% Emploi femmes" dataDxfId="120"/>
    <tableColumn id="7" xr3:uid="{97A25A51-B6AA-4171-9B8C-D7B5294B72FB}" name="IDE reçus (M USD)" dataDxfId="119"/>
    <tableColumn id="8" xr3:uid="{A819E4EF-E536-45BB-9E85-A562C39E5850}" name="Contraintes" dataDxfId="118"/>
    <tableColumn id="9" xr3:uid="{A1C4B7A7-6746-4594-BB21-C1F445BB4B0C}" name="Maj" dataDxfId="1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DEDB0F-F505-4871-B301-B4CEBCD41293}" name="Tableau3" displayName="Tableau3" ref="A18:I23" totalsRowShown="0" headerRowDxfId="116" dataDxfId="115">
  <autoFilter ref="A18:I23" xr:uid="{B2DEDB0F-F505-4871-B301-B4CEBCD41293}"/>
  <tableColumns count="9">
    <tableColumn id="1" xr3:uid="{87D22980-669B-4AEE-B340-60ACB9933EAA}" name="Nom entreprise" dataDxfId="114"/>
    <tableColumn id="2" xr3:uid="{9497F29F-D1D5-4D90-8DD2-B0D10592C46E}" name="Région" dataDxfId="113"/>
    <tableColumn id="3" xr3:uid="{1458045F-DE21-416F-90D8-8D360D25717A}" name="Prod. installée (units/y)" dataDxfId="112"/>
    <tableColumn id="4" xr3:uid="{3AADA29E-B31A-46BF-B4D2-B33335602BF0}" name="Prod. réalisée" dataDxfId="111"/>
    <tableColumn id="5" xr3:uid="{AF33DB4E-2B91-49AA-AC2C-62CE2571C960}" name="Emplois" dataDxfId="110"/>
    <tableColumn id="6" xr3:uid="{4DD1FF2C-7C29-4A6B-B0F0-CDEFDA73756C}" name="% Emploi femmes" dataDxfId="109"/>
    <tableColumn id="7" xr3:uid="{8685C9B2-DC7B-40F8-A003-3909FA3144CB}" name="IDE reçus (M USD)" dataDxfId="108"/>
    <tableColumn id="8" xr3:uid="{7342F13E-2D79-481E-8328-7C0EC86E946F}" name="Contraintes" dataDxfId="107"/>
    <tableColumn id="9" xr3:uid="{E5F265B0-FDF7-40BD-AE5E-BE4A03FAECCD}" name="Maj" dataDxfId="10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2C3DD0-2E94-4591-BB2F-5206E7FBB122}" name="Tableau4" displayName="Tableau4" ref="A26:I31" totalsRowShown="0" headerRowDxfId="105" dataDxfId="104">
  <autoFilter ref="A26:I31" xr:uid="{602C3DD0-2E94-4591-BB2F-5206E7FBB122}"/>
  <tableColumns count="9">
    <tableColumn id="1" xr3:uid="{D274E7E5-42B5-4087-B0C7-FBBB8FFCA22F}" name="Nom entreprise" dataDxfId="103"/>
    <tableColumn id="2" xr3:uid="{A75F07BB-4257-4281-97C9-CB0C31CB44A5}" name="Région" dataDxfId="102"/>
    <tableColumn id="3" xr3:uid="{BC000244-5A96-410A-AD97-322421B04B4F}" name="Prod. installée (m²/an)" dataDxfId="101"/>
    <tableColumn id="4" xr3:uid="{A3C8D146-DF16-4FF4-9C94-FB0EAEA69573}" name="Prod. réalisée" dataDxfId="100"/>
    <tableColumn id="5" xr3:uid="{08CD0589-77C5-49BE-8516-4A86C512C3E1}" name="Emplois" dataDxfId="99"/>
    <tableColumn id="6" xr3:uid="{8D741573-F7A3-4A5A-97ED-76CEB4E2E3BB}" name="% Emploi femmes" dataDxfId="98"/>
    <tableColumn id="7" xr3:uid="{D8B1AFE8-4289-46B9-9E14-61DE1C80693A}" name="IDE reçus (M USD)" dataDxfId="97"/>
    <tableColumn id="8" xr3:uid="{CC466855-AE46-4F0B-B79C-0332382B4ABA}" name="Contraintes" dataDxfId="96"/>
    <tableColumn id="9" xr3:uid="{16A8E612-3FEB-4AC1-BA8D-1EDA3C4F9B0A}" name="Maj" dataDxfId="9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869687-305F-4C2D-B50D-B1AA7A58C9B9}" name="Tableau5" displayName="Tableau5" ref="A35:I40" totalsRowShown="0" headerRowDxfId="94" dataDxfId="93">
  <autoFilter ref="A35:I40" xr:uid="{C8869687-305F-4C2D-B50D-B1AA7A58C9B9}"/>
  <tableColumns count="9">
    <tableColumn id="1" xr3:uid="{85177B15-F283-4851-9E0D-A688B133B51E}" name="Nom entreprise" dataDxfId="92"/>
    <tableColumn id="2" xr3:uid="{A85B81DD-DBFB-4CD4-84C8-F121BD03F7AE}" name="Région" dataDxfId="91"/>
    <tableColumn id="3" xr3:uid="{90D5A94E-6F7E-4C92-8D7D-FCE6E7D221B7}" name="Prod. installée (GWh)" dataDxfId="90"/>
    <tableColumn id="4" xr3:uid="{7C919978-2FD2-438F-B09D-C0634CE8F61E}" name="Prod. réalisée" dataDxfId="89"/>
    <tableColumn id="5" xr3:uid="{BE68BF0F-6D81-4F0A-B864-4E2EE73F9CCB}" name="Emplois" dataDxfId="88"/>
    <tableColumn id="6" xr3:uid="{1E360E38-48DD-4DC7-9776-611F5F9CFFA4}" name="% Emploi femmes" dataDxfId="87"/>
    <tableColumn id="7" xr3:uid="{1BCDFB66-81D4-4926-85D2-AFFD84428CE8}" name="IDE reçus (M USD)" dataDxfId="86"/>
    <tableColumn id="8" xr3:uid="{C35C8C41-9216-4788-85A5-9653828BAB7D}" name="Contraintes" dataDxfId="85"/>
    <tableColumn id="9" xr3:uid="{2C91429D-280A-4EDB-A630-521E2FEFEA22}" name="Maj" dataDxfId="8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C9EFE0-F704-4D19-9E03-A987771BDA9E}" name="Tableau6" displayName="Tableau6" ref="A44:G69" totalsRowShown="0" headerRowDxfId="83" dataDxfId="82">
  <autoFilter ref="A44:G69" xr:uid="{AAC9EFE0-F704-4D19-9E03-A987771BDA9E}"/>
  <tableColumns count="7">
    <tableColumn id="1" xr3:uid="{1AA9D44C-E271-4BD9-BF0A-F25AAAAD0DA3}" name="Secteur" dataDxfId="81"/>
    <tableColumn id="2" xr3:uid="{36C83C1F-AE27-471C-A4BF-6BD2705F7880}" name="Nom entreprise" dataDxfId="80"/>
    <tableColumn id="3" xr3:uid="{C826A444-A2FB-49AF-9336-6D6EA1BA6509}" name="Région" dataDxfId="79"/>
    <tableColumn id="4" xr3:uid="{7C32DDB5-8773-4C02-956E-1CAD8F3282D2}" name="Production réalisée" dataDxfId="78"/>
    <tableColumn id="5" xr3:uid="{E04CB4FD-146D-4A53-8877-E0A1B8655A8B}" name="Total emplois créés" dataDxfId="77"/>
    <tableColumn id="6" xr3:uid="{6CC7424D-EEA4-4B24-8A97-6C4843B45FA1}" name="IDE reçus (M USD)" dataDxfId="76"/>
    <tableColumn id="7" xr3:uid="{1DC23F79-A66A-4F3F-8994-C9E0D73FB644}" name="Contraintes" dataDxfId="7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6E9BC95-AEBD-4E99-A046-CA2033B19337}" name="Tableau18" displayName="Tableau18" ref="A2:I7" totalsRowShown="0" headerRowDxfId="74" dataDxfId="73">
  <autoFilter ref="A2:I7" xr:uid="{06E9BC95-AEBD-4E99-A046-CA2033B19337}"/>
  <tableColumns count="9">
    <tableColumn id="1" xr3:uid="{099380C5-6977-45E0-A529-FF82C4A4DF46}" name="Nom entreprise" dataDxfId="72"/>
    <tableColumn id="2" xr3:uid="{C3E70191-C566-41C2-8FB9-06AB91BF5155}" name="Région" dataDxfId="71"/>
    <tableColumn id="3" xr3:uid="{09132B4B-7568-4D92-A966-46A318E7FD51}" name="Prod. installée" dataDxfId="70"/>
    <tableColumn id="4" xr3:uid="{DA10017E-F31B-4849-B50E-6D009514370B}" name="Prod. réalisée" dataDxfId="69"/>
    <tableColumn id="5" xr3:uid="{659E05F2-7884-49B3-8F82-14801BF097C5}" name="Emplois" dataDxfId="68"/>
    <tableColumn id="6" xr3:uid="{0F8ACA5D-D256-491D-AB23-F5FCBA6E7B5F}" name="% Emploi femmes" dataDxfId="67"/>
    <tableColumn id="7" xr3:uid="{54C32702-0224-467C-92AB-E428C4F3D8CC}" name="IDE reçus (M USD)" dataDxfId="66"/>
    <tableColumn id="8" xr3:uid="{0BE4AAD3-B5BF-4D06-AB5D-0F2228F47873}" name="Contraintes" dataDxfId="65"/>
    <tableColumn id="9" xr3:uid="{A3F10433-0450-44F4-B711-7443D7F24E31}" name="Maj" dataDxfId="6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B5B54BB-1847-4DA9-810B-57234C61BA91}" name="Tableau1814" displayName="Tableau1814" ref="A10:H16" totalsRowCount="1" headerRowDxfId="63" dataDxfId="62">
  <autoFilter ref="A10:H15" xr:uid="{5B5B54BB-1847-4DA9-810B-57234C61BA91}"/>
  <tableColumns count="8">
    <tableColumn id="1" xr3:uid="{93392248-E63E-4E1B-8EDE-2597F8885883}" name="Nom entreprise" dataDxfId="61"/>
    <tableColumn id="3" xr3:uid="{230F6BE2-5351-4C02-90CA-C5958746AE8F}" name="Prod. Installée (t/y)" dataDxfId="60" dataCellStyle="Milliers"/>
    <tableColumn id="4" xr3:uid="{8DBCD1BC-C9FB-4D50-B79A-112E2CBE052D}" name="Prod. Réalisée (t)" dataDxfId="59" dataCellStyle="Milliers"/>
    <tableColumn id="5" xr3:uid="{EDBBA8A7-2EC0-4880-B158-6D2041320A90}" name="Emplois" dataDxfId="58" dataCellStyle="Milliers"/>
    <tableColumn id="6" xr3:uid="{ED8CF433-506A-4D93-B19D-90633D91CFD2}" name="% Emploi femmes" dataDxfId="57" dataCellStyle="Pourcentage"/>
    <tableColumn id="7" xr3:uid="{162FEDA8-D680-4CC4-B51A-54F0EE8B3D3F}" name="Nbre Emploi femmes" dataDxfId="56">
      <calculatedColumnFormula>D11*F3</calculatedColumnFormula>
    </tableColumn>
    <tableColumn id="8" xr3:uid="{DFA64257-4071-4D41-A73F-DE5C87F935E4}" name="IDE reçus (M USD)" dataDxfId="55"/>
    <tableColumn id="10" xr3:uid="{EA24FC7B-48C5-4804-B474-C25940840889}" name="Contraintes" dataDxfId="5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B60FB50-96D6-440D-BB46-A09596A11F1C}" name="Tableau220" displayName="Tableau220" ref="A2:J7" totalsRowShown="0" headerRowDxfId="53" dataDxfId="52">
  <autoFilter ref="A2:J7" xr:uid="{9B60FB50-96D6-440D-BB46-A09596A11F1C}"/>
  <tableColumns count="10">
    <tableColumn id="1" xr3:uid="{3BEC61F4-C015-4CF6-8CDC-C9C69C4526B8}" name="Nom entreprise" dataDxfId="51"/>
    <tableColumn id="2" xr3:uid="{B80C231E-AF4A-49E0-B36E-306C6D35ED56}" name="Région" dataDxfId="50"/>
    <tableColumn id="3" xr3:uid="{858F97CA-11E9-4A75-92AE-9CA5325D4C36}" name="Prod. installée (t/y)" dataDxfId="49" dataCellStyle="Milliers"/>
    <tableColumn id="4" xr3:uid="{D2AFFB1E-B5A5-4DAC-8B8E-F5CCB3A2723A}" name="Prod. réalisée (t)" dataDxfId="48" dataCellStyle="Milliers"/>
    <tableColumn id="5" xr3:uid="{F0DB3BC6-2586-4607-867B-6CD16CDCA5FA}" name="Emplois" dataDxfId="47" dataCellStyle="Milliers"/>
    <tableColumn id="6" xr3:uid="{6EC12CE9-AD0E-4E39-8281-9FF5F6526C7B}" name="% Emploi femmes" dataDxfId="46"/>
    <tableColumn id="7" xr3:uid="{BD187E78-85C3-419A-9F68-DAC790419796}" name="Nbre Emploi femmes" dataDxfId="45">
      <calculatedColumnFormula>Tableau220[[#This Row],[Emplois]]*Tableau220[[#This Row],[% Emploi femmes]]</calculatedColumnFormula>
    </tableColumn>
    <tableColumn id="8" xr3:uid="{E82B5BD8-A1B8-4032-912E-DC7B7D50CF12}" name="IDE reçus (M USD)" dataDxfId="44"/>
    <tableColumn id="9" xr3:uid="{F3CFDFE0-98CE-46CA-B56F-CE41ECF92439}" name="Contraintes" dataDxfId="43"/>
    <tableColumn id="10" xr3:uid="{BE2190EB-EAAC-4739-A88D-9227DFC2C13A}" name="Maj" dataDxfId="4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3CD589E-E46F-49A9-B0A3-F02C82C86176}" name="Tableau434" displayName="Tableau434" ref="A2:I7" totalsRowShown="0" headerRowDxfId="30" dataDxfId="29">
  <autoFilter ref="A2:I7" xr:uid="{E3CD589E-E46F-49A9-B0A3-F02C82C86176}"/>
  <tableColumns count="9">
    <tableColumn id="1" xr3:uid="{16B559BF-C856-4AC9-A225-8E09F79FD269}" name="Nom entreprise" dataDxfId="28"/>
    <tableColumn id="2" xr3:uid="{989F2F14-CFC4-49A7-B76A-DBA198B81B50}" name="Région" dataDxfId="27"/>
    <tableColumn id="3" xr3:uid="{32F19FDE-D4EE-4B2D-A619-E905829E6AA3}" name="Prod. installée (m²/an)" dataDxfId="26"/>
    <tableColumn id="4" xr3:uid="{26697736-3F55-4CF7-BF55-398469BE7F3C}" name="Prod. réalisée" dataDxfId="25"/>
    <tableColumn id="5" xr3:uid="{6719FF80-7D86-4443-A840-613BD6C0B6AE}" name="Emplois" dataDxfId="24"/>
    <tableColumn id="6" xr3:uid="{F30BA8BE-5B6B-4110-9C2B-CC96289E3068}" name="% Emploi femmes" dataDxfId="23"/>
    <tableColumn id="7" xr3:uid="{5CA34907-3AAF-4074-9BC0-BE60552E2201}" name="IDE reçus (M USD)" dataDxfId="22"/>
    <tableColumn id="8" xr3:uid="{91BA842C-3635-45E5-BDC6-7AA2D6AF564C}" name="Contraintes" dataDxfId="21"/>
    <tableColumn id="9" xr3:uid="{3E4596F7-737A-4A76-8FF8-D60557451DCC}" name="Maj" dataDxfId="2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7DEBA98-17C6-4A67-B544-D61EE926FA5D}" name="Tableau327" displayName="Tableau327" ref="A2:I7" totalsRowShown="0" headerRowDxfId="41" dataDxfId="40">
  <autoFilter ref="A2:I7" xr:uid="{77DEBA98-17C6-4A67-B544-D61EE926FA5D}"/>
  <tableColumns count="9">
    <tableColumn id="1" xr3:uid="{F4C506DC-79DD-42DC-BD21-E52CD6DF8A97}" name="Nom entreprise" dataDxfId="39"/>
    <tableColumn id="2" xr3:uid="{CFC6B8B5-D047-405D-80DC-74C1AEE41293}" name="Région" dataDxfId="38"/>
    <tableColumn id="3" xr3:uid="{E2BB0E49-6A45-4BF3-B31E-D2EB918FD2F3}" name="Prod. installée (units/y)" dataDxfId="37"/>
    <tableColumn id="4" xr3:uid="{1AFDBAFE-9814-4EE0-8557-AF259ED5CDF5}" name="Prod. réalisée" dataDxfId="36"/>
    <tableColumn id="5" xr3:uid="{9AFAC557-6028-40A9-B640-A5E3BA796921}" name="Emplois" dataDxfId="35"/>
    <tableColumn id="6" xr3:uid="{BAD62421-8AC4-4EC8-8E89-12B2DE75099F}" name="% Emploi femmes" dataDxfId="34"/>
    <tableColumn id="7" xr3:uid="{0D3109B2-617F-4D11-BFBE-8492F1B75607}" name="IDE reçus (M USD)" dataDxfId="33"/>
    <tableColumn id="8" xr3:uid="{15C91084-E4B5-4A27-A105-C2BB08BBC6ED}" name="Contraintes" dataDxfId="32"/>
    <tableColumn id="9" xr3:uid="{108E4DE7-FB27-4F4B-A165-D1CF7846BA6C}" name="Maj" dataDxfId="3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CDE7B94-34E0-4037-8FAA-E7010C7235AE}" name="Tableau541" displayName="Tableau541" ref="A2:I7" totalsRowShown="0" headerRowDxfId="19" dataDxfId="18">
  <autoFilter ref="A2:I7" xr:uid="{5CDE7B94-34E0-4037-8FAA-E7010C7235AE}"/>
  <tableColumns count="9">
    <tableColumn id="1" xr3:uid="{F0DD9316-6D72-4CA5-9F58-28A16C632D2D}" name="Nom entreprise" dataDxfId="17"/>
    <tableColumn id="2" xr3:uid="{68642052-646C-4FFB-A7C1-6BF6CD1E1D7E}" name="Région" dataDxfId="16"/>
    <tableColumn id="3" xr3:uid="{EB7D5C81-88FE-4B34-9F71-10D96A39194F}" name="Prod. installée (GWh)" dataDxfId="15"/>
    <tableColumn id="4" xr3:uid="{D300292A-8798-4BE9-9556-FFC0DD44CCF3}" name="Prod. réalisée" dataDxfId="14"/>
    <tableColumn id="5" xr3:uid="{786ABA59-7BE3-4FA8-896A-C15EA9BF33AC}" name="Emplois" dataDxfId="13"/>
    <tableColumn id="6" xr3:uid="{F8EF24B7-B397-4885-8575-A960AB5EBA1E}" name="% Emploi femmes" dataDxfId="12"/>
    <tableColumn id="7" xr3:uid="{D3A671C1-982C-4657-B8B3-B99820366585}" name="IDE reçus (M USD)" dataDxfId="11"/>
    <tableColumn id="8" xr3:uid="{0D546918-3B66-40FC-B442-1DFB048B2819}" name="Contraintes" dataDxfId="10"/>
    <tableColumn id="9" xr3:uid="{C206EC8F-7E14-455E-90E8-3108628E90AF}" name="Maj" dataDxfId="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8627578-3AC4-47DF-8734-39960B45B72F}" name="Tableau648" displayName="Tableau648" ref="A2:G27" totalsRowShown="0" headerRowDxfId="8" dataDxfId="7">
  <autoFilter ref="A2:G27" xr:uid="{48627578-3AC4-47DF-8734-39960B45B72F}"/>
  <tableColumns count="7">
    <tableColumn id="1" xr3:uid="{BDE2766D-A3E4-4A33-9DE5-8E2F497AEF57}" name="Secteur" dataDxfId="6"/>
    <tableColumn id="2" xr3:uid="{3D681D21-5846-4CCB-AC68-CCEA1D038497}" name="Nom entreprise" dataDxfId="5"/>
    <tableColumn id="3" xr3:uid="{60FD8D2A-E927-416C-90AA-D2B714679040}" name="Région" dataDxfId="4"/>
    <tableColumn id="4" xr3:uid="{8BD45662-4A6C-4560-A66D-A76CA8890FE9}" name="Production réalisée" dataDxfId="3"/>
    <tableColumn id="5" xr3:uid="{0867C49C-F87E-49CF-A353-A70C503558AC}" name="Total emplois créés" dataDxfId="2"/>
    <tableColumn id="6" xr3:uid="{38584F92-CDCB-4AEB-9E45-EEAEBF5AAFD0}" name="IDE reçus (M USD)" dataDxfId="1"/>
    <tableColumn id="7" xr3:uid="{5393F823-1E85-44FD-B370-B90612F2EF2E}" name="Contrain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90E11-67C9-469E-A102-F9B34CE5FD54}">
  <dimension ref="A1:I69"/>
  <sheetViews>
    <sheetView workbookViewId="0">
      <selection activeCell="M9" sqref="M9"/>
    </sheetView>
  </sheetViews>
  <sheetFormatPr baseColWidth="10" defaultRowHeight="15" x14ac:dyDescent="0.25"/>
  <cols>
    <col min="1" max="2" width="17.28515625" customWidth="1"/>
    <col min="3" max="3" width="24.28515625" customWidth="1"/>
    <col min="4" max="5" width="20.7109375" customWidth="1"/>
    <col min="6" max="7" width="19.42578125" customWidth="1"/>
    <col min="8" max="8" width="13.85546875" customWidth="1"/>
  </cols>
  <sheetData>
    <row r="1" spans="1:9" x14ac:dyDescent="0.25">
      <c r="A1" t="s">
        <v>240</v>
      </c>
    </row>
    <row r="2" spans="1:9" x14ac:dyDescent="0.25">
      <c r="A2" s="2" t="s">
        <v>0</v>
      </c>
      <c r="B2" s="2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2" t="s">
        <v>7</v>
      </c>
      <c r="I2" s="2" t="s">
        <v>8</v>
      </c>
    </row>
    <row r="3" spans="1:9" ht="30" x14ac:dyDescent="0.25">
      <c r="A3" s="5" t="s">
        <v>9</v>
      </c>
      <c r="B3" s="5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>
        <v>45</v>
      </c>
      <c r="H3" s="5" t="s">
        <v>15</v>
      </c>
      <c r="I3" s="5" t="s">
        <v>16</v>
      </c>
    </row>
    <row r="4" spans="1:9" x14ac:dyDescent="0.25">
      <c r="A4" s="5" t="s">
        <v>17</v>
      </c>
      <c r="B4" s="5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>
        <v>38</v>
      </c>
      <c r="H4" s="5" t="s">
        <v>23</v>
      </c>
      <c r="I4" s="5" t="s">
        <v>24</v>
      </c>
    </row>
    <row r="5" spans="1:9" ht="30" x14ac:dyDescent="0.25">
      <c r="A5" s="5" t="s">
        <v>25</v>
      </c>
      <c r="B5" s="5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>
        <v>110</v>
      </c>
      <c r="H5" s="5" t="s">
        <v>31</v>
      </c>
      <c r="I5" s="5" t="s">
        <v>32</v>
      </c>
    </row>
    <row r="6" spans="1:9" ht="30" x14ac:dyDescent="0.25">
      <c r="A6" s="5" t="s">
        <v>33</v>
      </c>
      <c r="B6" s="5" t="s">
        <v>34</v>
      </c>
      <c r="C6" s="1" t="s">
        <v>35</v>
      </c>
      <c r="D6" s="1" t="s">
        <v>36</v>
      </c>
      <c r="E6" s="1">
        <v>850</v>
      </c>
      <c r="F6" s="1" t="s">
        <v>37</v>
      </c>
      <c r="G6" s="1">
        <v>22</v>
      </c>
      <c r="H6" s="5" t="s">
        <v>38</v>
      </c>
      <c r="I6" s="5" t="s">
        <v>39</v>
      </c>
    </row>
    <row r="7" spans="1:9" ht="30" x14ac:dyDescent="0.25">
      <c r="A7" s="5" t="s">
        <v>40</v>
      </c>
      <c r="B7" s="5" t="s">
        <v>41</v>
      </c>
      <c r="C7" s="1" t="s">
        <v>42</v>
      </c>
      <c r="D7" s="1" t="s">
        <v>20</v>
      </c>
      <c r="E7" s="1" t="s">
        <v>43</v>
      </c>
      <c r="F7" s="1" t="s">
        <v>44</v>
      </c>
      <c r="G7" s="1">
        <v>30</v>
      </c>
      <c r="H7" s="5" t="s">
        <v>45</v>
      </c>
      <c r="I7" s="5" t="s">
        <v>46</v>
      </c>
    </row>
    <row r="9" spans="1:9" x14ac:dyDescent="0.25">
      <c r="A9" t="s">
        <v>241</v>
      </c>
    </row>
    <row r="10" spans="1:9" x14ac:dyDescent="0.25">
      <c r="A10" s="2" t="s">
        <v>0</v>
      </c>
      <c r="B10" s="2" t="s">
        <v>1</v>
      </c>
      <c r="C10" s="4" t="s">
        <v>47</v>
      </c>
      <c r="D10" s="4" t="s">
        <v>48</v>
      </c>
      <c r="E10" s="4" t="s">
        <v>4</v>
      </c>
      <c r="F10" s="4" t="s">
        <v>5</v>
      </c>
      <c r="G10" s="4" t="s">
        <v>6</v>
      </c>
      <c r="H10" s="2" t="s">
        <v>7</v>
      </c>
      <c r="I10" s="2" t="s">
        <v>8</v>
      </c>
    </row>
    <row r="11" spans="1:9" ht="30" x14ac:dyDescent="0.25">
      <c r="A11" s="5" t="s">
        <v>49</v>
      </c>
      <c r="B11" s="5" t="s">
        <v>50</v>
      </c>
      <c r="C11" s="1" t="s">
        <v>51</v>
      </c>
      <c r="D11" s="1" t="s">
        <v>52</v>
      </c>
      <c r="E11" s="1">
        <v>420</v>
      </c>
      <c r="F11" s="1" t="s">
        <v>53</v>
      </c>
      <c r="G11" s="1">
        <v>5</v>
      </c>
      <c r="H11" s="5" t="s">
        <v>54</v>
      </c>
      <c r="I11" s="5" t="s">
        <v>16</v>
      </c>
    </row>
    <row r="12" spans="1:9" x14ac:dyDescent="0.25">
      <c r="A12" s="5" t="s">
        <v>55</v>
      </c>
      <c r="B12" s="5" t="s">
        <v>10</v>
      </c>
      <c r="C12" s="1" t="s">
        <v>56</v>
      </c>
      <c r="D12" s="1" t="s">
        <v>57</v>
      </c>
      <c r="E12" s="1">
        <v>560</v>
      </c>
      <c r="F12" s="1" t="s">
        <v>58</v>
      </c>
      <c r="G12" s="1">
        <v>8</v>
      </c>
      <c r="H12" s="5" t="s">
        <v>59</v>
      </c>
      <c r="I12" s="5" t="s">
        <v>60</v>
      </c>
    </row>
    <row r="13" spans="1:9" x14ac:dyDescent="0.25">
      <c r="A13" s="5" t="s">
        <v>61</v>
      </c>
      <c r="B13" s="5" t="s">
        <v>62</v>
      </c>
      <c r="C13" s="1" t="s">
        <v>63</v>
      </c>
      <c r="D13" s="1" t="s">
        <v>64</v>
      </c>
      <c r="E13" s="1">
        <v>290</v>
      </c>
      <c r="F13" s="1" t="s">
        <v>65</v>
      </c>
      <c r="G13" s="1" t="s">
        <v>66</v>
      </c>
      <c r="H13" s="5" t="s">
        <v>67</v>
      </c>
      <c r="I13" s="5" t="s">
        <v>68</v>
      </c>
    </row>
    <row r="14" spans="1:9" x14ac:dyDescent="0.25">
      <c r="A14" s="5" t="s">
        <v>69</v>
      </c>
      <c r="B14" s="5" t="s">
        <v>18</v>
      </c>
      <c r="C14" s="1" t="s">
        <v>70</v>
      </c>
      <c r="D14" s="1" t="s">
        <v>71</v>
      </c>
      <c r="E14" s="1">
        <v>510</v>
      </c>
      <c r="F14" s="1" t="s">
        <v>72</v>
      </c>
      <c r="G14" s="1" t="s">
        <v>73</v>
      </c>
      <c r="H14" s="5" t="s">
        <v>74</v>
      </c>
      <c r="I14" s="5" t="s">
        <v>75</v>
      </c>
    </row>
    <row r="15" spans="1:9" x14ac:dyDescent="0.25">
      <c r="A15" s="5" t="s">
        <v>76</v>
      </c>
      <c r="B15" s="5" t="s">
        <v>26</v>
      </c>
      <c r="C15" s="1" t="s">
        <v>77</v>
      </c>
      <c r="D15" s="1" t="s">
        <v>78</v>
      </c>
      <c r="E15" s="1">
        <v>620</v>
      </c>
      <c r="F15" s="1" t="s">
        <v>79</v>
      </c>
      <c r="G15" s="1" t="s">
        <v>80</v>
      </c>
      <c r="H15" s="5" t="s">
        <v>81</v>
      </c>
      <c r="I15" s="5" t="s">
        <v>82</v>
      </c>
    </row>
    <row r="17" spans="1:9" x14ac:dyDescent="0.25">
      <c r="A17" t="s">
        <v>242</v>
      </c>
    </row>
    <row r="18" spans="1:9" x14ac:dyDescent="0.25">
      <c r="A18" s="2" t="s">
        <v>0</v>
      </c>
      <c r="B18" s="2" t="s">
        <v>1</v>
      </c>
      <c r="C18" s="4" t="s">
        <v>83</v>
      </c>
      <c r="D18" s="4" t="s">
        <v>3</v>
      </c>
      <c r="E18" s="4" t="s">
        <v>4</v>
      </c>
      <c r="F18" s="4" t="s">
        <v>5</v>
      </c>
      <c r="G18" s="4" t="s">
        <v>6</v>
      </c>
      <c r="H18" s="2" t="s">
        <v>7</v>
      </c>
      <c r="I18" s="2" t="s">
        <v>8</v>
      </c>
    </row>
    <row r="19" spans="1:9" ht="30" x14ac:dyDescent="0.25">
      <c r="A19" s="5" t="s">
        <v>84</v>
      </c>
      <c r="B19" s="5" t="s">
        <v>50</v>
      </c>
      <c r="C19" s="1" t="s">
        <v>85</v>
      </c>
      <c r="D19" s="1" t="s">
        <v>86</v>
      </c>
      <c r="E19" s="1" t="s">
        <v>87</v>
      </c>
      <c r="F19" s="1" t="s">
        <v>88</v>
      </c>
      <c r="G19" s="1">
        <v>12</v>
      </c>
      <c r="H19" s="5" t="s">
        <v>54</v>
      </c>
      <c r="I19" s="5" t="s">
        <v>89</v>
      </c>
    </row>
    <row r="20" spans="1:9" x14ac:dyDescent="0.25">
      <c r="A20" s="5" t="s">
        <v>90</v>
      </c>
      <c r="B20" s="5" t="s">
        <v>10</v>
      </c>
      <c r="C20" s="1" t="s">
        <v>91</v>
      </c>
      <c r="D20" s="1" t="s">
        <v>92</v>
      </c>
      <c r="E20" s="1">
        <v>980</v>
      </c>
      <c r="F20" s="1" t="s">
        <v>93</v>
      </c>
      <c r="G20" s="1" t="s">
        <v>94</v>
      </c>
      <c r="H20" s="5" t="s">
        <v>95</v>
      </c>
      <c r="I20" s="5" t="s">
        <v>96</v>
      </c>
    </row>
    <row r="21" spans="1:9" x14ac:dyDescent="0.25">
      <c r="A21" s="5" t="s">
        <v>97</v>
      </c>
      <c r="B21" s="5" t="s">
        <v>41</v>
      </c>
      <c r="C21" s="1" t="s">
        <v>98</v>
      </c>
      <c r="D21" s="1" t="s">
        <v>99</v>
      </c>
      <c r="E21" s="1">
        <v>710</v>
      </c>
      <c r="F21" s="1" t="s">
        <v>100</v>
      </c>
      <c r="G21" s="1">
        <v>7</v>
      </c>
      <c r="H21" s="5" t="s">
        <v>101</v>
      </c>
      <c r="I21" s="5" t="s">
        <v>102</v>
      </c>
    </row>
    <row r="22" spans="1:9" x14ac:dyDescent="0.25">
      <c r="A22" s="5" t="s">
        <v>103</v>
      </c>
      <c r="B22" s="5" t="s">
        <v>26</v>
      </c>
      <c r="C22" s="1" t="s">
        <v>104</v>
      </c>
      <c r="D22" s="1" t="s">
        <v>105</v>
      </c>
      <c r="E22" s="1">
        <v>560</v>
      </c>
      <c r="F22" s="1" t="s">
        <v>106</v>
      </c>
      <c r="G22" s="1" t="s">
        <v>107</v>
      </c>
      <c r="H22" s="5" t="s">
        <v>108</v>
      </c>
      <c r="I22" s="5" t="s">
        <v>109</v>
      </c>
    </row>
    <row r="23" spans="1:9" x14ac:dyDescent="0.25">
      <c r="A23" s="5" t="s">
        <v>110</v>
      </c>
      <c r="B23" s="5" t="s">
        <v>34</v>
      </c>
      <c r="C23" s="1" t="s">
        <v>111</v>
      </c>
      <c r="D23" s="1" t="s">
        <v>112</v>
      </c>
      <c r="E23" s="1">
        <v>690</v>
      </c>
      <c r="F23" s="1" t="s">
        <v>113</v>
      </c>
      <c r="G23" s="1" t="s">
        <v>114</v>
      </c>
      <c r="H23" s="5" t="s">
        <v>81</v>
      </c>
      <c r="I23" s="5" t="s">
        <v>32</v>
      </c>
    </row>
    <row r="25" spans="1:9" x14ac:dyDescent="0.25">
      <c r="A25" t="s">
        <v>243</v>
      </c>
    </row>
    <row r="26" spans="1:9" x14ac:dyDescent="0.25">
      <c r="A26" s="2" t="s">
        <v>0</v>
      </c>
      <c r="B26" s="2" t="s">
        <v>1</v>
      </c>
      <c r="C26" s="4" t="s">
        <v>115</v>
      </c>
      <c r="D26" s="4" t="s">
        <v>3</v>
      </c>
      <c r="E26" s="4" t="s">
        <v>4</v>
      </c>
      <c r="F26" s="4" t="s">
        <v>5</v>
      </c>
      <c r="G26" s="4" t="s">
        <v>6</v>
      </c>
      <c r="H26" s="2" t="s">
        <v>7</v>
      </c>
      <c r="I26" s="2" t="s">
        <v>8</v>
      </c>
    </row>
    <row r="27" spans="1:9" ht="30" x14ac:dyDescent="0.25">
      <c r="A27" s="5" t="s">
        <v>116</v>
      </c>
      <c r="B27" s="5" t="s">
        <v>50</v>
      </c>
      <c r="C27" s="1" t="s">
        <v>117</v>
      </c>
      <c r="D27" s="1" t="s">
        <v>118</v>
      </c>
      <c r="E27" s="1" t="s">
        <v>119</v>
      </c>
      <c r="F27" s="1" t="s">
        <v>120</v>
      </c>
      <c r="G27" s="1">
        <v>25</v>
      </c>
      <c r="H27" s="5" t="s">
        <v>121</v>
      </c>
      <c r="I27" s="5" t="s">
        <v>75</v>
      </c>
    </row>
    <row r="28" spans="1:9" ht="30" x14ac:dyDescent="0.25">
      <c r="A28" s="5" t="s">
        <v>122</v>
      </c>
      <c r="B28" s="5" t="s">
        <v>10</v>
      </c>
      <c r="C28" s="1" t="s">
        <v>123</v>
      </c>
      <c r="D28" s="1" t="s">
        <v>124</v>
      </c>
      <c r="E28" s="1" t="s">
        <v>125</v>
      </c>
      <c r="F28" s="1" t="s">
        <v>126</v>
      </c>
      <c r="G28" s="1">
        <v>33</v>
      </c>
      <c r="H28" s="5" t="s">
        <v>127</v>
      </c>
      <c r="I28" s="5" t="s">
        <v>128</v>
      </c>
    </row>
    <row r="29" spans="1:9" ht="30" x14ac:dyDescent="0.25">
      <c r="A29" s="5" t="s">
        <v>129</v>
      </c>
      <c r="B29" s="5" t="s">
        <v>26</v>
      </c>
      <c r="C29" s="1" t="s">
        <v>130</v>
      </c>
      <c r="D29" s="1" t="s">
        <v>98</v>
      </c>
      <c r="E29" s="1" t="s">
        <v>131</v>
      </c>
      <c r="F29" s="1" t="s">
        <v>14</v>
      </c>
      <c r="G29" s="1">
        <v>27</v>
      </c>
      <c r="H29" s="5" t="s">
        <v>132</v>
      </c>
      <c r="I29" s="5" t="s">
        <v>133</v>
      </c>
    </row>
    <row r="30" spans="1:9" ht="30" x14ac:dyDescent="0.25">
      <c r="A30" s="5" t="s">
        <v>134</v>
      </c>
      <c r="B30" s="5" t="s">
        <v>41</v>
      </c>
      <c r="C30" s="1" t="s">
        <v>135</v>
      </c>
      <c r="D30" s="1" t="s">
        <v>136</v>
      </c>
      <c r="E30" s="1" t="s">
        <v>137</v>
      </c>
      <c r="F30" s="1" t="s">
        <v>37</v>
      </c>
      <c r="G30" s="1">
        <v>22</v>
      </c>
      <c r="H30" s="5" t="s">
        <v>138</v>
      </c>
      <c r="I30" s="5" t="s">
        <v>60</v>
      </c>
    </row>
    <row r="31" spans="1:9" x14ac:dyDescent="0.25">
      <c r="A31" s="5" t="s">
        <v>139</v>
      </c>
      <c r="B31" s="5" t="s">
        <v>34</v>
      </c>
      <c r="C31" s="1" t="s">
        <v>140</v>
      </c>
      <c r="D31" s="1" t="s">
        <v>141</v>
      </c>
      <c r="E31" s="1" t="s">
        <v>142</v>
      </c>
      <c r="F31" s="1" t="s">
        <v>44</v>
      </c>
      <c r="G31" s="1">
        <v>29</v>
      </c>
      <c r="H31" s="5" t="s">
        <v>101</v>
      </c>
      <c r="I31" s="5" t="s">
        <v>143</v>
      </c>
    </row>
    <row r="34" spans="1:9" x14ac:dyDescent="0.25">
      <c r="A34" t="s">
        <v>244</v>
      </c>
    </row>
    <row r="35" spans="1:9" x14ac:dyDescent="0.25">
      <c r="A35" s="2" t="s">
        <v>0</v>
      </c>
      <c r="B35" s="2" t="s">
        <v>1</v>
      </c>
      <c r="C35" s="4" t="s">
        <v>144</v>
      </c>
      <c r="D35" s="4" t="s">
        <v>3</v>
      </c>
      <c r="E35" s="4" t="s">
        <v>4</v>
      </c>
      <c r="F35" s="4" t="s">
        <v>5</v>
      </c>
      <c r="G35" s="4" t="s">
        <v>6</v>
      </c>
      <c r="H35" s="2" t="s">
        <v>7</v>
      </c>
      <c r="I35" s="2" t="s">
        <v>8</v>
      </c>
    </row>
    <row r="36" spans="1:9" ht="30" x14ac:dyDescent="0.25">
      <c r="A36" s="5" t="s">
        <v>145</v>
      </c>
      <c r="B36" s="5" t="s">
        <v>50</v>
      </c>
      <c r="C36" s="1" t="s">
        <v>13</v>
      </c>
      <c r="D36" s="1" t="s">
        <v>146</v>
      </c>
      <c r="E36" s="1" t="s">
        <v>147</v>
      </c>
      <c r="F36" s="1" t="s">
        <v>148</v>
      </c>
      <c r="G36" s="1">
        <v>40</v>
      </c>
      <c r="H36" s="5" t="s">
        <v>149</v>
      </c>
      <c r="I36" s="5" t="s">
        <v>32</v>
      </c>
    </row>
    <row r="37" spans="1:9" x14ac:dyDescent="0.25">
      <c r="A37" s="5" t="s">
        <v>150</v>
      </c>
      <c r="B37" s="5" t="s">
        <v>10</v>
      </c>
      <c r="C37" s="1">
        <v>850</v>
      </c>
      <c r="D37" s="1">
        <v>830</v>
      </c>
      <c r="E37" s="1">
        <v>780</v>
      </c>
      <c r="F37" s="1" t="s">
        <v>151</v>
      </c>
      <c r="G37" s="1">
        <v>12</v>
      </c>
      <c r="H37" s="5" t="s">
        <v>152</v>
      </c>
      <c r="I37" s="5" t="s">
        <v>75</v>
      </c>
    </row>
    <row r="38" spans="1:9" ht="30" x14ac:dyDescent="0.25">
      <c r="A38" s="5" t="s">
        <v>153</v>
      </c>
      <c r="B38" s="5" t="s">
        <v>26</v>
      </c>
      <c r="C38" s="1" t="s">
        <v>154</v>
      </c>
      <c r="D38" s="1" t="s">
        <v>155</v>
      </c>
      <c r="E38" s="1" t="s">
        <v>137</v>
      </c>
      <c r="F38" s="1" t="s">
        <v>22</v>
      </c>
      <c r="G38" s="1">
        <v>55</v>
      </c>
      <c r="H38" s="5" t="s">
        <v>156</v>
      </c>
      <c r="I38" s="5" t="s">
        <v>16</v>
      </c>
    </row>
    <row r="39" spans="1:9" x14ac:dyDescent="0.25">
      <c r="A39" s="5" t="s">
        <v>157</v>
      </c>
      <c r="B39" s="5" t="s">
        <v>41</v>
      </c>
      <c r="C39" s="1">
        <v>650</v>
      </c>
      <c r="D39" s="1">
        <v>620</v>
      </c>
      <c r="E39" s="1">
        <v>520</v>
      </c>
      <c r="F39" s="1" t="s">
        <v>158</v>
      </c>
      <c r="G39" s="1">
        <v>8</v>
      </c>
      <c r="H39" s="5" t="s">
        <v>159</v>
      </c>
      <c r="I39" s="5" t="s">
        <v>160</v>
      </c>
    </row>
    <row r="40" spans="1:9" x14ac:dyDescent="0.25">
      <c r="A40" s="5" t="s">
        <v>161</v>
      </c>
      <c r="B40" s="5" t="s">
        <v>18</v>
      </c>
      <c r="C40" s="1">
        <v>780</v>
      </c>
      <c r="D40" s="1">
        <v>760</v>
      </c>
      <c r="E40" s="1">
        <v>610</v>
      </c>
      <c r="F40" s="1" t="s">
        <v>162</v>
      </c>
      <c r="G40" s="1">
        <v>10</v>
      </c>
      <c r="H40" s="5" t="s">
        <v>101</v>
      </c>
      <c r="I40" s="5" t="s">
        <v>89</v>
      </c>
    </row>
    <row r="43" spans="1:9" x14ac:dyDescent="0.25">
      <c r="A43" t="s">
        <v>245</v>
      </c>
    </row>
    <row r="44" spans="1:9" x14ac:dyDescent="0.25">
      <c r="A44" s="2" t="s">
        <v>163</v>
      </c>
      <c r="B44" s="2" t="s">
        <v>0</v>
      </c>
      <c r="C44" s="2" t="s">
        <v>1</v>
      </c>
      <c r="D44" s="2" t="s">
        <v>164</v>
      </c>
      <c r="E44" s="2" t="s">
        <v>165</v>
      </c>
      <c r="F44" s="2" t="s">
        <v>6</v>
      </c>
      <c r="G44" s="2" t="s">
        <v>7</v>
      </c>
    </row>
    <row r="45" spans="1:9" ht="30" x14ac:dyDescent="0.25">
      <c r="A45" s="5" t="s">
        <v>166</v>
      </c>
      <c r="B45" s="5" t="s">
        <v>9</v>
      </c>
      <c r="C45" s="5" t="s">
        <v>10</v>
      </c>
      <c r="D45" s="1" t="s">
        <v>12</v>
      </c>
      <c r="E45" s="1" t="s">
        <v>13</v>
      </c>
      <c r="F45" s="1">
        <v>45</v>
      </c>
      <c r="G45" s="5" t="s">
        <v>15</v>
      </c>
    </row>
    <row r="46" spans="1:9" ht="30" x14ac:dyDescent="0.25">
      <c r="A46" s="5" t="s">
        <v>166</v>
      </c>
      <c r="B46" s="5" t="s">
        <v>17</v>
      </c>
      <c r="C46" s="5" t="s">
        <v>18</v>
      </c>
      <c r="D46" s="1" t="s">
        <v>20</v>
      </c>
      <c r="E46" s="1" t="s">
        <v>21</v>
      </c>
      <c r="F46" s="1">
        <v>38</v>
      </c>
      <c r="G46" s="5" t="s">
        <v>23</v>
      </c>
    </row>
    <row r="47" spans="1:9" ht="30" x14ac:dyDescent="0.25">
      <c r="A47" s="5" t="s">
        <v>166</v>
      </c>
      <c r="B47" s="5" t="s">
        <v>25</v>
      </c>
      <c r="C47" s="5" t="s">
        <v>26</v>
      </c>
      <c r="D47" s="1" t="s">
        <v>28</v>
      </c>
      <c r="E47" s="1" t="s">
        <v>29</v>
      </c>
      <c r="F47" s="1">
        <v>110</v>
      </c>
      <c r="G47" s="5" t="s">
        <v>31</v>
      </c>
    </row>
    <row r="48" spans="1:9" ht="30" x14ac:dyDescent="0.25">
      <c r="A48" s="5" t="s">
        <v>166</v>
      </c>
      <c r="B48" s="5" t="s">
        <v>33</v>
      </c>
      <c r="C48" s="5" t="s">
        <v>34</v>
      </c>
      <c r="D48" s="1" t="s">
        <v>36</v>
      </c>
      <c r="E48" s="1">
        <v>850</v>
      </c>
      <c r="F48" s="1">
        <v>22</v>
      </c>
      <c r="G48" s="5" t="s">
        <v>38</v>
      </c>
    </row>
    <row r="49" spans="1:7" ht="30" x14ac:dyDescent="0.25">
      <c r="A49" s="5" t="s">
        <v>166</v>
      </c>
      <c r="B49" s="5" t="s">
        <v>40</v>
      </c>
      <c r="C49" s="5" t="s">
        <v>41</v>
      </c>
      <c r="D49" s="1" t="s">
        <v>20</v>
      </c>
      <c r="E49" s="1" t="s">
        <v>43</v>
      </c>
      <c r="F49" s="1">
        <v>30</v>
      </c>
      <c r="G49" s="5" t="s">
        <v>45</v>
      </c>
    </row>
    <row r="50" spans="1:7" x14ac:dyDescent="0.25">
      <c r="A50" s="5" t="s">
        <v>167</v>
      </c>
      <c r="B50" s="5" t="s">
        <v>49</v>
      </c>
      <c r="C50" s="5" t="s">
        <v>50</v>
      </c>
      <c r="D50" s="1" t="s">
        <v>168</v>
      </c>
      <c r="E50" s="1">
        <v>420</v>
      </c>
      <c r="F50" s="1">
        <v>5</v>
      </c>
      <c r="G50" s="5" t="s">
        <v>54</v>
      </c>
    </row>
    <row r="51" spans="1:7" x14ac:dyDescent="0.25">
      <c r="A51" s="5" t="s">
        <v>167</v>
      </c>
      <c r="B51" s="5" t="s">
        <v>55</v>
      </c>
      <c r="C51" s="5" t="s">
        <v>10</v>
      </c>
      <c r="D51" s="1" t="s">
        <v>169</v>
      </c>
      <c r="E51" s="1">
        <v>560</v>
      </c>
      <c r="F51" s="1">
        <v>8</v>
      </c>
      <c r="G51" s="5" t="s">
        <v>59</v>
      </c>
    </row>
    <row r="52" spans="1:7" x14ac:dyDescent="0.25">
      <c r="A52" s="5" t="s">
        <v>167</v>
      </c>
      <c r="B52" s="5" t="s">
        <v>61</v>
      </c>
      <c r="C52" s="5" t="s">
        <v>62</v>
      </c>
      <c r="D52" s="1" t="s">
        <v>170</v>
      </c>
      <c r="E52" s="1">
        <v>290</v>
      </c>
      <c r="F52" s="1" t="s">
        <v>66</v>
      </c>
      <c r="G52" s="5" t="s">
        <v>67</v>
      </c>
    </row>
    <row r="53" spans="1:7" x14ac:dyDescent="0.25">
      <c r="A53" s="5" t="s">
        <v>167</v>
      </c>
      <c r="B53" s="5" t="s">
        <v>69</v>
      </c>
      <c r="C53" s="5" t="s">
        <v>18</v>
      </c>
      <c r="D53" s="1" t="s">
        <v>171</v>
      </c>
      <c r="E53" s="1">
        <v>510</v>
      </c>
      <c r="F53" s="1" t="s">
        <v>73</v>
      </c>
      <c r="G53" s="5" t="s">
        <v>74</v>
      </c>
    </row>
    <row r="54" spans="1:7" x14ac:dyDescent="0.25">
      <c r="A54" s="5" t="s">
        <v>167</v>
      </c>
      <c r="B54" s="5" t="s">
        <v>76</v>
      </c>
      <c r="C54" s="5" t="s">
        <v>26</v>
      </c>
      <c r="D54" s="1" t="s">
        <v>172</v>
      </c>
      <c r="E54" s="1">
        <v>620</v>
      </c>
      <c r="F54" s="1" t="s">
        <v>80</v>
      </c>
      <c r="G54" s="5" t="s">
        <v>81</v>
      </c>
    </row>
    <row r="55" spans="1:7" ht="30" x14ac:dyDescent="0.25">
      <c r="A55" s="5" t="s">
        <v>173</v>
      </c>
      <c r="B55" s="5" t="s">
        <v>84</v>
      </c>
      <c r="C55" s="5" t="s">
        <v>50</v>
      </c>
      <c r="D55" s="1" t="s">
        <v>174</v>
      </c>
      <c r="E55" s="1" t="s">
        <v>87</v>
      </c>
      <c r="F55" s="1">
        <v>12</v>
      </c>
      <c r="G55" s="5" t="s">
        <v>54</v>
      </c>
    </row>
    <row r="56" spans="1:7" ht="30" x14ac:dyDescent="0.25">
      <c r="A56" s="5" t="s">
        <v>173</v>
      </c>
      <c r="B56" s="5" t="s">
        <v>90</v>
      </c>
      <c r="C56" s="5" t="s">
        <v>10</v>
      </c>
      <c r="D56" s="1" t="s">
        <v>175</v>
      </c>
      <c r="E56" s="1">
        <v>980</v>
      </c>
      <c r="F56" s="1" t="s">
        <v>94</v>
      </c>
      <c r="G56" s="5" t="s">
        <v>95</v>
      </c>
    </row>
    <row r="57" spans="1:7" ht="30" x14ac:dyDescent="0.25">
      <c r="A57" s="5" t="s">
        <v>173</v>
      </c>
      <c r="B57" s="5" t="s">
        <v>97</v>
      </c>
      <c r="C57" s="5" t="s">
        <v>41</v>
      </c>
      <c r="D57" s="1" t="s">
        <v>176</v>
      </c>
      <c r="E57" s="1">
        <v>710</v>
      </c>
      <c r="F57" s="1">
        <v>7</v>
      </c>
      <c r="G57" s="5" t="s">
        <v>101</v>
      </c>
    </row>
    <row r="58" spans="1:7" ht="30" x14ac:dyDescent="0.25">
      <c r="A58" s="5" t="s">
        <v>173</v>
      </c>
      <c r="B58" s="5" t="s">
        <v>103</v>
      </c>
      <c r="C58" s="5" t="s">
        <v>26</v>
      </c>
      <c r="D58" s="1" t="s">
        <v>177</v>
      </c>
      <c r="E58" s="1">
        <v>560</v>
      </c>
      <c r="F58" s="1" t="s">
        <v>107</v>
      </c>
      <c r="G58" s="5" t="s">
        <v>108</v>
      </c>
    </row>
    <row r="59" spans="1:7" ht="30" x14ac:dyDescent="0.25">
      <c r="A59" s="5" t="s">
        <v>173</v>
      </c>
      <c r="B59" s="5" t="s">
        <v>110</v>
      </c>
      <c r="C59" s="5" t="s">
        <v>34</v>
      </c>
      <c r="D59" s="1" t="s">
        <v>178</v>
      </c>
      <c r="E59" s="1">
        <v>690</v>
      </c>
      <c r="F59" s="1" t="s">
        <v>114</v>
      </c>
      <c r="G59" s="5" t="s">
        <v>81</v>
      </c>
    </row>
    <row r="60" spans="1:7" ht="30" x14ac:dyDescent="0.25">
      <c r="A60" s="5" t="s">
        <v>179</v>
      </c>
      <c r="B60" s="5" t="s">
        <v>116</v>
      </c>
      <c r="C60" s="5" t="s">
        <v>50</v>
      </c>
      <c r="D60" s="1" t="s">
        <v>180</v>
      </c>
      <c r="E60" s="1" t="s">
        <v>119</v>
      </c>
      <c r="F60" s="1">
        <v>25</v>
      </c>
      <c r="G60" s="5" t="s">
        <v>121</v>
      </c>
    </row>
    <row r="61" spans="1:7" ht="30" x14ac:dyDescent="0.25">
      <c r="A61" s="5" t="s">
        <v>179</v>
      </c>
      <c r="B61" s="5" t="s">
        <v>122</v>
      </c>
      <c r="C61" s="5" t="s">
        <v>10</v>
      </c>
      <c r="D61" s="1" t="s">
        <v>181</v>
      </c>
      <c r="E61" s="1" t="s">
        <v>125</v>
      </c>
      <c r="F61" s="1">
        <v>33</v>
      </c>
      <c r="G61" s="5" t="s">
        <v>127</v>
      </c>
    </row>
    <row r="62" spans="1:7" ht="30" x14ac:dyDescent="0.25">
      <c r="A62" s="5" t="s">
        <v>179</v>
      </c>
      <c r="B62" s="5" t="s">
        <v>129</v>
      </c>
      <c r="C62" s="5" t="s">
        <v>26</v>
      </c>
      <c r="D62" s="1" t="s">
        <v>182</v>
      </c>
      <c r="E62" s="1" t="s">
        <v>131</v>
      </c>
      <c r="F62" s="1">
        <v>27</v>
      </c>
      <c r="G62" s="5" t="s">
        <v>132</v>
      </c>
    </row>
    <row r="63" spans="1:7" ht="30" x14ac:dyDescent="0.25">
      <c r="A63" s="5" t="s">
        <v>179</v>
      </c>
      <c r="B63" s="5" t="s">
        <v>134</v>
      </c>
      <c r="C63" s="5" t="s">
        <v>41</v>
      </c>
      <c r="D63" s="1" t="s">
        <v>183</v>
      </c>
      <c r="E63" s="1" t="s">
        <v>137</v>
      </c>
      <c r="F63" s="1">
        <v>22</v>
      </c>
      <c r="G63" s="5" t="s">
        <v>138</v>
      </c>
    </row>
    <row r="64" spans="1:7" ht="30" x14ac:dyDescent="0.25">
      <c r="A64" s="5" t="s">
        <v>179</v>
      </c>
      <c r="B64" s="5" t="s">
        <v>139</v>
      </c>
      <c r="C64" s="5" t="s">
        <v>34</v>
      </c>
      <c r="D64" s="1" t="s">
        <v>184</v>
      </c>
      <c r="E64" s="1" t="s">
        <v>142</v>
      </c>
      <c r="F64" s="1">
        <v>29</v>
      </c>
      <c r="G64" s="5" t="s">
        <v>101</v>
      </c>
    </row>
    <row r="65" spans="1:7" x14ac:dyDescent="0.25">
      <c r="A65" s="5" t="s">
        <v>185</v>
      </c>
      <c r="B65" s="5" t="s">
        <v>145</v>
      </c>
      <c r="C65" s="5" t="s">
        <v>50</v>
      </c>
      <c r="D65" s="1" t="s">
        <v>186</v>
      </c>
      <c r="E65" s="1" t="s">
        <v>147</v>
      </c>
      <c r="F65" s="1">
        <v>40</v>
      </c>
      <c r="G65" s="5" t="s">
        <v>149</v>
      </c>
    </row>
    <row r="66" spans="1:7" x14ac:dyDescent="0.25">
      <c r="A66" s="5" t="s">
        <v>185</v>
      </c>
      <c r="B66" s="5" t="s">
        <v>150</v>
      </c>
      <c r="C66" s="5" t="s">
        <v>10</v>
      </c>
      <c r="D66" s="1" t="s">
        <v>187</v>
      </c>
      <c r="E66" s="1">
        <v>780</v>
      </c>
      <c r="F66" s="1">
        <v>12</v>
      </c>
      <c r="G66" s="5" t="s">
        <v>152</v>
      </c>
    </row>
    <row r="67" spans="1:7" x14ac:dyDescent="0.25">
      <c r="A67" s="5" t="s">
        <v>185</v>
      </c>
      <c r="B67" s="5" t="s">
        <v>153</v>
      </c>
      <c r="C67" s="5" t="s">
        <v>26</v>
      </c>
      <c r="D67" s="1" t="s">
        <v>188</v>
      </c>
      <c r="E67" s="1" t="s">
        <v>137</v>
      </c>
      <c r="F67" s="1">
        <v>55</v>
      </c>
      <c r="G67" s="5" t="s">
        <v>156</v>
      </c>
    </row>
    <row r="68" spans="1:7" x14ac:dyDescent="0.25">
      <c r="A68" s="5" t="s">
        <v>185</v>
      </c>
      <c r="B68" s="5" t="s">
        <v>157</v>
      </c>
      <c r="C68" s="5" t="s">
        <v>41</v>
      </c>
      <c r="D68" s="1" t="s">
        <v>189</v>
      </c>
      <c r="E68" s="1">
        <v>520</v>
      </c>
      <c r="F68" s="1">
        <v>8</v>
      </c>
      <c r="G68" s="5" t="s">
        <v>159</v>
      </c>
    </row>
    <row r="69" spans="1:7" x14ac:dyDescent="0.25">
      <c r="A69" s="5" t="s">
        <v>185</v>
      </c>
      <c r="B69" s="5" t="s">
        <v>161</v>
      </c>
      <c r="C69" s="5" t="s">
        <v>18</v>
      </c>
      <c r="D69" s="1" t="s">
        <v>190</v>
      </c>
      <c r="E69" s="1">
        <v>610</v>
      </c>
      <c r="F69" s="1">
        <v>10</v>
      </c>
      <c r="G69" s="5" t="s">
        <v>101</v>
      </c>
    </row>
  </sheetData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48EB-1E3F-4980-ABA4-E3FC0272E7EE}">
  <dimension ref="A1:I43"/>
  <sheetViews>
    <sheetView tabSelected="1" topLeftCell="A7" workbookViewId="0">
      <selection activeCell="K19" sqref="K19"/>
    </sheetView>
  </sheetViews>
  <sheetFormatPr baseColWidth="10" defaultRowHeight="15" x14ac:dyDescent="0.25"/>
  <cols>
    <col min="1" max="2" width="17.28515625" customWidth="1"/>
    <col min="3" max="3" width="24.28515625" customWidth="1"/>
    <col min="4" max="5" width="20.7109375" customWidth="1"/>
    <col min="6" max="7" width="19.42578125" customWidth="1"/>
    <col min="8" max="8" width="18.42578125" customWidth="1"/>
    <col min="9" max="9" width="15.42578125" customWidth="1"/>
  </cols>
  <sheetData>
    <row r="1" spans="1:9" x14ac:dyDescent="0.25">
      <c r="A1" s="8" t="s">
        <v>240</v>
      </c>
    </row>
    <row r="2" spans="1:9" x14ac:dyDescent="0.25">
      <c r="A2" s="2" t="s">
        <v>0</v>
      </c>
      <c r="B2" s="2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2" t="s">
        <v>7</v>
      </c>
      <c r="I2" s="2" t="s">
        <v>8</v>
      </c>
    </row>
    <row r="3" spans="1:9" ht="30" x14ac:dyDescent="0.25">
      <c r="A3" s="5" t="s">
        <v>9</v>
      </c>
      <c r="B3" s="5" t="s">
        <v>10</v>
      </c>
      <c r="C3" s="1" t="s">
        <v>11</v>
      </c>
      <c r="D3" s="1" t="s">
        <v>12</v>
      </c>
      <c r="E3" s="1" t="s">
        <v>13</v>
      </c>
      <c r="F3" s="16">
        <v>0.12</v>
      </c>
      <c r="G3" s="1">
        <v>45</v>
      </c>
      <c r="H3" s="5" t="s">
        <v>15</v>
      </c>
      <c r="I3" s="5" t="s">
        <v>16</v>
      </c>
    </row>
    <row r="4" spans="1:9" ht="29.25" customHeight="1" x14ac:dyDescent="0.25">
      <c r="A4" s="5" t="s">
        <v>17</v>
      </c>
      <c r="B4" s="5" t="s">
        <v>18</v>
      </c>
      <c r="C4" s="1" t="s">
        <v>19</v>
      </c>
      <c r="D4" s="1" t="s">
        <v>20</v>
      </c>
      <c r="E4" s="1" t="s">
        <v>21</v>
      </c>
      <c r="F4" s="16">
        <v>0.1</v>
      </c>
      <c r="G4" s="1">
        <v>38</v>
      </c>
      <c r="H4" s="5" t="s">
        <v>23</v>
      </c>
      <c r="I4" s="5" t="s">
        <v>24</v>
      </c>
    </row>
    <row r="5" spans="1:9" ht="30" x14ac:dyDescent="0.25">
      <c r="A5" s="5" t="s">
        <v>25</v>
      </c>
      <c r="B5" s="5" t="s">
        <v>26</v>
      </c>
      <c r="C5" s="1" t="s">
        <v>27</v>
      </c>
      <c r="D5" s="1" t="s">
        <v>28</v>
      </c>
      <c r="E5" s="1" t="s">
        <v>29</v>
      </c>
      <c r="F5" s="16">
        <v>0.15</v>
      </c>
      <c r="G5" s="1">
        <v>110</v>
      </c>
      <c r="H5" s="5" t="s">
        <v>31</v>
      </c>
      <c r="I5" s="5" t="s">
        <v>32</v>
      </c>
    </row>
    <row r="6" spans="1:9" x14ac:dyDescent="0.25">
      <c r="A6" s="5" t="s">
        <v>33</v>
      </c>
      <c r="B6" s="5" t="s">
        <v>34</v>
      </c>
      <c r="C6" s="1" t="s">
        <v>35</v>
      </c>
      <c r="D6" s="1" t="s">
        <v>36</v>
      </c>
      <c r="E6" s="1">
        <v>850</v>
      </c>
      <c r="F6" s="16">
        <v>0.09</v>
      </c>
      <c r="G6" s="1">
        <v>22</v>
      </c>
      <c r="H6" s="5" t="s">
        <v>38</v>
      </c>
      <c r="I6" s="5" t="s">
        <v>39</v>
      </c>
    </row>
    <row r="7" spans="1:9" x14ac:dyDescent="0.25">
      <c r="A7" s="5" t="s">
        <v>40</v>
      </c>
      <c r="B7" s="5" t="s">
        <v>41</v>
      </c>
      <c r="C7" s="1" t="s">
        <v>42</v>
      </c>
      <c r="D7" s="1" t="s">
        <v>20</v>
      </c>
      <c r="E7" s="1" t="s">
        <v>43</v>
      </c>
      <c r="F7" s="16">
        <v>0.11</v>
      </c>
      <c r="G7" s="1">
        <v>30</v>
      </c>
      <c r="H7" s="5" t="s">
        <v>45</v>
      </c>
      <c r="I7" s="5" t="s">
        <v>46</v>
      </c>
    </row>
    <row r="8" spans="1:9" x14ac:dyDescent="0.25">
      <c r="A8" s="5"/>
      <c r="B8" s="5"/>
      <c r="C8" s="1"/>
      <c r="D8" s="1"/>
      <c r="E8" s="1"/>
      <c r="F8" s="1"/>
      <c r="G8" s="1"/>
      <c r="H8" s="5"/>
      <c r="I8" s="5"/>
    </row>
    <row r="10" spans="1:9" ht="27" customHeight="1" x14ac:dyDescent="0.25">
      <c r="A10" s="2" t="s">
        <v>0</v>
      </c>
      <c r="B10" s="2" t="s">
        <v>247</v>
      </c>
      <c r="C10" s="2" t="s">
        <v>248</v>
      </c>
      <c r="D10" s="2" t="s">
        <v>4</v>
      </c>
      <c r="E10" s="2" t="s">
        <v>5</v>
      </c>
      <c r="F10" s="2" t="s">
        <v>246</v>
      </c>
      <c r="G10" s="4" t="s">
        <v>6</v>
      </c>
      <c r="H10" s="4" t="s">
        <v>7</v>
      </c>
    </row>
    <row r="11" spans="1:9" ht="30" x14ac:dyDescent="0.25">
      <c r="A11" s="5" t="s">
        <v>9</v>
      </c>
      <c r="B11" s="15">
        <v>1200000</v>
      </c>
      <c r="C11" s="15">
        <v>1050000</v>
      </c>
      <c r="D11" s="15">
        <v>1500</v>
      </c>
      <c r="E11" s="13">
        <v>0.12</v>
      </c>
      <c r="F11" s="26">
        <f t="shared" ref="F11:F15" si="0">D11*F3</f>
        <v>180</v>
      </c>
      <c r="G11" s="12">
        <v>45</v>
      </c>
      <c r="H11" s="14" t="s">
        <v>15</v>
      </c>
    </row>
    <row r="12" spans="1:9" x14ac:dyDescent="0.25">
      <c r="A12" s="5" t="s">
        <v>17</v>
      </c>
      <c r="B12" s="15">
        <v>950000</v>
      </c>
      <c r="C12" s="15">
        <v>820000</v>
      </c>
      <c r="D12" s="15">
        <v>1100</v>
      </c>
      <c r="E12" s="13">
        <v>0.1</v>
      </c>
      <c r="F12" s="12">
        <f t="shared" si="0"/>
        <v>110</v>
      </c>
      <c r="G12" s="12">
        <v>38</v>
      </c>
      <c r="H12" s="14" t="s">
        <v>23</v>
      </c>
    </row>
    <row r="13" spans="1:9" ht="30" x14ac:dyDescent="0.25">
      <c r="A13" s="5" t="s">
        <v>25</v>
      </c>
      <c r="B13" s="15">
        <v>3000000</v>
      </c>
      <c r="C13" s="15">
        <v>2750000</v>
      </c>
      <c r="D13" s="15">
        <v>4200</v>
      </c>
      <c r="E13" s="13">
        <v>0.15</v>
      </c>
      <c r="F13" s="12">
        <f t="shared" si="0"/>
        <v>630</v>
      </c>
      <c r="G13" s="12">
        <v>110</v>
      </c>
      <c r="H13" s="14" t="s">
        <v>31</v>
      </c>
    </row>
    <row r="14" spans="1:9" x14ac:dyDescent="0.25">
      <c r="A14" s="5" t="s">
        <v>33</v>
      </c>
      <c r="B14" s="15">
        <v>700000</v>
      </c>
      <c r="C14" s="15">
        <v>550000</v>
      </c>
      <c r="D14" s="15">
        <v>850</v>
      </c>
      <c r="E14" s="13">
        <v>0.09</v>
      </c>
      <c r="F14" s="12">
        <f t="shared" si="0"/>
        <v>76.5</v>
      </c>
      <c r="G14" s="12">
        <v>22</v>
      </c>
      <c r="H14" s="14" t="s">
        <v>38</v>
      </c>
    </row>
    <row r="15" spans="1:9" x14ac:dyDescent="0.25">
      <c r="A15" s="5" t="s">
        <v>40</v>
      </c>
      <c r="B15" s="15">
        <v>880000</v>
      </c>
      <c r="C15" s="15">
        <v>820000</v>
      </c>
      <c r="D15" s="15">
        <v>1000</v>
      </c>
      <c r="E15" s="13">
        <v>0.11</v>
      </c>
      <c r="F15" s="12">
        <f t="shared" si="0"/>
        <v>110</v>
      </c>
      <c r="G15" s="12">
        <v>30</v>
      </c>
      <c r="H15" s="14" t="s">
        <v>45</v>
      </c>
    </row>
    <row r="17" spans="1:7" x14ac:dyDescent="0.25">
      <c r="A17" s="2"/>
      <c r="B17" s="4"/>
      <c r="C17" s="4"/>
      <c r="D17" s="4"/>
      <c r="E17" s="4"/>
      <c r="F17" s="4"/>
      <c r="G17" s="2"/>
    </row>
    <row r="18" spans="1:7" ht="30.75" thickBot="1" x14ac:dyDescent="0.3">
      <c r="A18" s="22" t="s">
        <v>0</v>
      </c>
      <c r="B18" s="23" t="s">
        <v>247</v>
      </c>
      <c r="C18" s="23" t="s">
        <v>248</v>
      </c>
      <c r="D18" s="23" t="s">
        <v>4</v>
      </c>
      <c r="E18" s="23" t="s">
        <v>246</v>
      </c>
      <c r="F18" s="24" t="s">
        <v>6</v>
      </c>
      <c r="G18" s="25" t="s">
        <v>7</v>
      </c>
    </row>
    <row r="19" spans="1:7" ht="30.75" thickTop="1" x14ac:dyDescent="0.25">
      <c r="A19" s="19" t="s">
        <v>249</v>
      </c>
      <c r="B19" s="20">
        <f>SUM(B11:B15)</f>
        <v>6730000</v>
      </c>
      <c r="C19" s="27">
        <f>SUM(C11:C15)</f>
        <v>5990000</v>
      </c>
      <c r="D19" s="27">
        <f>SUM(D11:D15)</f>
        <v>8650</v>
      </c>
      <c r="E19" s="28">
        <f>SUM(F11:F15)</f>
        <v>1106.5</v>
      </c>
      <c r="F19" s="28">
        <f>SUM(G11:G15)</f>
        <v>245</v>
      </c>
      <c r="G19" s="21"/>
    </row>
    <row r="20" spans="1:7" x14ac:dyDescent="0.25">
      <c r="A20" s="5"/>
      <c r="B20" s="1"/>
      <c r="C20" s="1"/>
      <c r="D20" s="1"/>
      <c r="E20" s="1"/>
      <c r="F20" s="1"/>
      <c r="G20" s="5"/>
    </row>
    <row r="21" spans="1:7" x14ac:dyDescent="0.25">
      <c r="A21" s="5"/>
      <c r="B21" s="1"/>
      <c r="C21" s="1"/>
      <c r="D21" s="1"/>
      <c r="E21" s="1"/>
      <c r="F21" s="1"/>
      <c r="G21" s="5"/>
    </row>
    <row r="22" spans="1:7" x14ac:dyDescent="0.25">
      <c r="A22" s="5"/>
      <c r="B22" s="1"/>
      <c r="C22" s="1"/>
      <c r="D22" s="1"/>
      <c r="E22" s="1"/>
      <c r="F22" s="1"/>
      <c r="G22" s="5"/>
    </row>
    <row r="24" spans="1:7" x14ac:dyDescent="0.25">
      <c r="A24" s="2"/>
      <c r="B24" s="4"/>
      <c r="C24" s="4"/>
      <c r="D24" s="4"/>
      <c r="E24" s="4"/>
      <c r="F24" s="4"/>
      <c r="G24" s="2"/>
    </row>
    <row r="25" spans="1:7" x14ac:dyDescent="0.25">
      <c r="A25" s="5"/>
      <c r="B25" s="1"/>
      <c r="C25" s="1"/>
      <c r="D25" s="1"/>
      <c r="E25" s="1"/>
      <c r="F25" s="1"/>
      <c r="G25" s="5"/>
    </row>
    <row r="26" spans="1:7" x14ac:dyDescent="0.25">
      <c r="A26" s="5"/>
      <c r="B26" s="1"/>
      <c r="C26" s="1"/>
      <c r="D26" s="1"/>
      <c r="E26" s="1"/>
      <c r="F26" s="1"/>
      <c r="G26" s="5"/>
    </row>
    <row r="27" spans="1:7" x14ac:dyDescent="0.25">
      <c r="A27" s="5"/>
      <c r="B27" s="1"/>
      <c r="C27" s="1"/>
      <c r="D27" s="1"/>
      <c r="E27" s="1"/>
      <c r="F27" s="1"/>
      <c r="G27" s="5"/>
    </row>
    <row r="28" spans="1:7" x14ac:dyDescent="0.25">
      <c r="A28" s="5"/>
      <c r="B28" s="1"/>
      <c r="C28" s="1"/>
      <c r="D28" s="1"/>
      <c r="E28" s="1"/>
      <c r="F28" s="1"/>
      <c r="G28" s="5"/>
    </row>
    <row r="29" spans="1:7" x14ac:dyDescent="0.25">
      <c r="A29" s="5"/>
      <c r="B29" s="1"/>
      <c r="C29" s="1"/>
      <c r="D29" s="1"/>
      <c r="E29" s="1"/>
      <c r="F29" s="1"/>
      <c r="G29" s="5"/>
    </row>
    <row r="31" spans="1:7" x14ac:dyDescent="0.25">
      <c r="A31" s="2"/>
      <c r="B31" s="4"/>
      <c r="C31" s="4"/>
      <c r="D31" s="4"/>
      <c r="E31" s="4"/>
      <c r="F31" s="4"/>
      <c r="G31" s="2"/>
    </row>
    <row r="32" spans="1:7" x14ac:dyDescent="0.25">
      <c r="A32" s="5"/>
      <c r="B32" s="1"/>
      <c r="C32" s="1"/>
      <c r="D32" s="1"/>
      <c r="E32" s="1"/>
      <c r="F32" s="1"/>
      <c r="G32" s="5"/>
    </row>
    <row r="33" spans="1:7" x14ac:dyDescent="0.25">
      <c r="A33" s="5"/>
      <c r="B33" s="1"/>
      <c r="C33" s="1"/>
      <c r="D33" s="1"/>
      <c r="E33" s="1"/>
      <c r="F33" s="1"/>
      <c r="G33" s="5"/>
    </row>
    <row r="34" spans="1:7" x14ac:dyDescent="0.25">
      <c r="A34" s="5"/>
      <c r="B34" s="1"/>
      <c r="C34" s="1"/>
      <c r="D34" s="1"/>
      <c r="E34" s="1"/>
      <c r="F34" s="1"/>
      <c r="G34" s="5"/>
    </row>
    <row r="35" spans="1:7" x14ac:dyDescent="0.25">
      <c r="A35" s="5"/>
      <c r="B35" s="1"/>
      <c r="C35" s="1"/>
      <c r="D35" s="1"/>
      <c r="E35" s="1"/>
      <c r="F35" s="1"/>
      <c r="G35" s="5"/>
    </row>
    <row r="36" spans="1:7" x14ac:dyDescent="0.25">
      <c r="A36" s="5"/>
      <c r="B36" s="1"/>
      <c r="C36" s="1"/>
      <c r="D36" s="1"/>
      <c r="E36" s="1"/>
      <c r="F36" s="1"/>
      <c r="G36" s="5"/>
    </row>
    <row r="38" spans="1:7" x14ac:dyDescent="0.25">
      <c r="A38" s="2"/>
      <c r="B38" s="4"/>
      <c r="C38" s="4"/>
      <c r="D38" s="4"/>
      <c r="E38" s="4"/>
      <c r="F38" s="4"/>
      <c r="G38" s="2"/>
    </row>
    <row r="39" spans="1:7" x14ac:dyDescent="0.25">
      <c r="A39" s="5"/>
      <c r="B39" s="1"/>
      <c r="C39" s="1"/>
      <c r="D39" s="1"/>
      <c r="E39" s="1"/>
      <c r="F39" s="1"/>
      <c r="G39" s="5"/>
    </row>
    <row r="40" spans="1:7" x14ac:dyDescent="0.25">
      <c r="A40" s="5"/>
      <c r="B40" s="1"/>
      <c r="C40" s="1"/>
      <c r="D40" s="1"/>
      <c r="E40" s="1"/>
      <c r="F40" s="1"/>
      <c r="G40" s="5"/>
    </row>
    <row r="41" spans="1:7" x14ac:dyDescent="0.25">
      <c r="A41" s="5"/>
      <c r="B41" s="1"/>
      <c r="C41" s="1"/>
      <c r="D41" s="1"/>
      <c r="E41" s="1"/>
      <c r="F41" s="1"/>
      <c r="G41" s="5"/>
    </row>
    <row r="42" spans="1:7" x14ac:dyDescent="0.25">
      <c r="A42" s="5"/>
      <c r="B42" s="1"/>
      <c r="C42" s="1"/>
      <c r="D42" s="1"/>
      <c r="E42" s="1"/>
      <c r="F42" s="1"/>
      <c r="G42" s="5"/>
    </row>
    <row r="43" spans="1:7" x14ac:dyDescent="0.25">
      <c r="A43" s="5"/>
      <c r="B43" s="1"/>
      <c r="C43" s="1"/>
      <c r="D43" s="1"/>
      <c r="E43" s="1"/>
      <c r="F43" s="1"/>
      <c r="G43" s="5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C692-58F1-4AAB-A98F-6DBC62EFE450}">
  <dimension ref="A1:J9"/>
  <sheetViews>
    <sheetView workbookViewId="0">
      <selection activeCell="A28" sqref="A28"/>
    </sheetView>
  </sheetViews>
  <sheetFormatPr baseColWidth="10" defaultRowHeight="15" x14ac:dyDescent="0.25"/>
  <cols>
    <col min="1" max="2" width="17.28515625" customWidth="1"/>
    <col min="3" max="3" width="24.28515625" customWidth="1"/>
    <col min="4" max="5" width="20.7109375" customWidth="1"/>
    <col min="6" max="7" width="19.42578125" customWidth="1"/>
    <col min="8" max="8" width="13.85546875" customWidth="1"/>
  </cols>
  <sheetData>
    <row r="1" spans="1:10" x14ac:dyDescent="0.25">
      <c r="A1" s="8" t="s">
        <v>241</v>
      </c>
    </row>
    <row r="2" spans="1:10" ht="30" x14ac:dyDescent="0.25">
      <c r="A2" s="2" t="s">
        <v>0</v>
      </c>
      <c r="B2" s="2" t="s">
        <v>1</v>
      </c>
      <c r="C2" s="4" t="s">
        <v>47</v>
      </c>
      <c r="D2" s="2" t="s">
        <v>48</v>
      </c>
      <c r="E2" s="2" t="s">
        <v>4</v>
      </c>
      <c r="F2" s="2" t="s">
        <v>5</v>
      </c>
      <c r="G2" s="2" t="s">
        <v>246</v>
      </c>
      <c r="H2" s="2" t="s">
        <v>6</v>
      </c>
      <c r="I2" s="4" t="s">
        <v>7</v>
      </c>
      <c r="J2" s="4" t="s">
        <v>8</v>
      </c>
    </row>
    <row r="3" spans="1:10" ht="30" x14ac:dyDescent="0.25">
      <c r="A3" s="5" t="s">
        <v>49</v>
      </c>
      <c r="B3" s="5" t="s">
        <v>50</v>
      </c>
      <c r="C3" s="15">
        <v>50000</v>
      </c>
      <c r="D3" s="15">
        <v>48200</v>
      </c>
      <c r="E3" s="15">
        <v>420</v>
      </c>
      <c r="F3" s="16">
        <v>0.42</v>
      </c>
      <c r="G3" s="18">
        <f>Tableau220[[#This Row],[Emplois]]*Tableau220[[#This Row],[% Emploi femmes]]</f>
        <v>176.4</v>
      </c>
      <c r="H3" s="11">
        <v>5</v>
      </c>
      <c r="I3" s="5" t="s">
        <v>54</v>
      </c>
      <c r="J3" s="3" t="s">
        <v>16</v>
      </c>
    </row>
    <row r="4" spans="1:10" x14ac:dyDescent="0.25">
      <c r="A4" s="5" t="s">
        <v>55</v>
      </c>
      <c r="B4" s="5" t="s">
        <v>10</v>
      </c>
      <c r="C4" s="15">
        <v>75000</v>
      </c>
      <c r="D4" s="15">
        <v>70300</v>
      </c>
      <c r="E4" s="15">
        <v>560</v>
      </c>
      <c r="F4" s="16">
        <v>0.38</v>
      </c>
      <c r="G4" s="18">
        <f>Tableau220[[#This Row],[Emplois]]*Tableau220[[#This Row],[% Emploi femmes]]</f>
        <v>212.8</v>
      </c>
      <c r="H4" s="11">
        <v>8</v>
      </c>
      <c r="I4" s="5" t="s">
        <v>59</v>
      </c>
      <c r="J4" s="3" t="s">
        <v>60</v>
      </c>
    </row>
    <row r="5" spans="1:10" x14ac:dyDescent="0.25">
      <c r="A5" s="5" t="s">
        <v>61</v>
      </c>
      <c r="B5" s="5" t="s">
        <v>62</v>
      </c>
      <c r="C5" s="15">
        <v>30000</v>
      </c>
      <c r="D5" s="15">
        <v>29500</v>
      </c>
      <c r="E5" s="15">
        <v>290</v>
      </c>
      <c r="F5" s="16">
        <v>0.47</v>
      </c>
      <c r="G5" s="18">
        <f>Tableau220[[#This Row],[Emplois]]*Tableau220[[#This Row],[% Emploi femmes]]</f>
        <v>136.29999999999998</v>
      </c>
      <c r="H5" s="11">
        <v>3.2</v>
      </c>
      <c r="I5" s="5" t="s">
        <v>67</v>
      </c>
      <c r="J5" s="3" t="s">
        <v>68</v>
      </c>
    </row>
    <row r="6" spans="1:10" x14ac:dyDescent="0.25">
      <c r="A6" s="5" t="s">
        <v>69</v>
      </c>
      <c r="B6" s="5" t="s">
        <v>18</v>
      </c>
      <c r="C6" s="15">
        <v>60000</v>
      </c>
      <c r="D6" s="15">
        <v>57000</v>
      </c>
      <c r="E6" s="15">
        <v>510</v>
      </c>
      <c r="F6" s="16">
        <v>0.4</v>
      </c>
      <c r="G6" s="18">
        <f>Tableau220[[#This Row],[Emplois]]*Tableau220[[#This Row],[% Emploi femmes]]</f>
        <v>204</v>
      </c>
      <c r="H6" s="11">
        <v>6.4</v>
      </c>
      <c r="I6" s="5" t="s">
        <v>74</v>
      </c>
      <c r="J6" s="3" t="s">
        <v>75</v>
      </c>
    </row>
    <row r="7" spans="1:10" x14ac:dyDescent="0.25">
      <c r="A7" s="5" t="s">
        <v>76</v>
      </c>
      <c r="B7" s="5" t="s">
        <v>26</v>
      </c>
      <c r="C7" s="15">
        <v>80000</v>
      </c>
      <c r="D7" s="15">
        <v>75500</v>
      </c>
      <c r="E7" s="15">
        <v>620</v>
      </c>
      <c r="F7" s="16">
        <v>0.44</v>
      </c>
      <c r="G7" s="18">
        <f>Tableau220[[#This Row],[Emplois]]*Tableau220[[#This Row],[% Emploi femmes]]</f>
        <v>272.8</v>
      </c>
      <c r="H7" s="11">
        <v>9.1</v>
      </c>
      <c r="I7" s="5" t="s">
        <v>81</v>
      </c>
      <c r="J7" s="3" t="s">
        <v>82</v>
      </c>
    </row>
    <row r="8" spans="1:10" x14ac:dyDescent="0.25">
      <c r="C8" s="17"/>
      <c r="D8" s="17"/>
      <c r="E8" s="17"/>
    </row>
    <row r="9" spans="1:10" x14ac:dyDescent="0.25">
      <c r="C9" s="17"/>
      <c r="D9" s="17"/>
      <c r="E9" s="17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332A-4A6E-4BB3-A06E-5833E7D08486}">
  <dimension ref="A1:I7"/>
  <sheetViews>
    <sheetView workbookViewId="0">
      <selection activeCell="D22" sqref="D22"/>
    </sheetView>
  </sheetViews>
  <sheetFormatPr baseColWidth="10" defaultRowHeight="15" x14ac:dyDescent="0.25"/>
  <cols>
    <col min="1" max="2" width="17.28515625" customWidth="1"/>
    <col min="3" max="3" width="24.28515625" customWidth="1"/>
    <col min="4" max="5" width="20.7109375" customWidth="1"/>
    <col min="6" max="7" width="19.42578125" customWidth="1"/>
    <col min="8" max="8" width="13.85546875" customWidth="1"/>
  </cols>
  <sheetData>
    <row r="1" spans="1:9" x14ac:dyDescent="0.25">
      <c r="A1" t="s">
        <v>243</v>
      </c>
    </row>
    <row r="2" spans="1:9" x14ac:dyDescent="0.25">
      <c r="A2" s="2" t="s">
        <v>0</v>
      </c>
      <c r="B2" s="2" t="s">
        <v>1</v>
      </c>
      <c r="C2" s="4" t="s">
        <v>115</v>
      </c>
      <c r="D2" s="4" t="s">
        <v>3</v>
      </c>
      <c r="E2" s="4" t="s">
        <v>4</v>
      </c>
      <c r="F2" s="4" t="s">
        <v>5</v>
      </c>
      <c r="G2" s="4" t="s">
        <v>6</v>
      </c>
      <c r="H2" s="2" t="s">
        <v>7</v>
      </c>
      <c r="I2" s="2" t="s">
        <v>8</v>
      </c>
    </row>
    <row r="3" spans="1:9" ht="30" x14ac:dyDescent="0.25">
      <c r="A3" s="5" t="s">
        <v>116</v>
      </c>
      <c r="B3" s="5" t="s">
        <v>50</v>
      </c>
      <c r="C3" s="1" t="s">
        <v>117</v>
      </c>
      <c r="D3" s="1" t="s">
        <v>118</v>
      </c>
      <c r="E3" s="1" t="s">
        <v>119</v>
      </c>
      <c r="F3" s="1" t="s">
        <v>120</v>
      </c>
      <c r="G3" s="1">
        <v>25</v>
      </c>
      <c r="H3" s="5" t="s">
        <v>121</v>
      </c>
      <c r="I3" s="5" t="s">
        <v>75</v>
      </c>
    </row>
    <row r="4" spans="1:9" ht="30" x14ac:dyDescent="0.25">
      <c r="A4" s="5" t="s">
        <v>122</v>
      </c>
      <c r="B4" s="5" t="s">
        <v>10</v>
      </c>
      <c r="C4" s="1" t="s">
        <v>123</v>
      </c>
      <c r="D4" s="1" t="s">
        <v>124</v>
      </c>
      <c r="E4" s="1" t="s">
        <v>125</v>
      </c>
      <c r="F4" s="1" t="s">
        <v>126</v>
      </c>
      <c r="G4" s="1">
        <v>33</v>
      </c>
      <c r="H4" s="5" t="s">
        <v>127</v>
      </c>
      <c r="I4" s="5" t="s">
        <v>128</v>
      </c>
    </row>
    <row r="5" spans="1:9" ht="30" x14ac:dyDescent="0.25">
      <c r="A5" s="5" t="s">
        <v>129</v>
      </c>
      <c r="B5" s="5" t="s">
        <v>26</v>
      </c>
      <c r="C5" s="1" t="s">
        <v>130</v>
      </c>
      <c r="D5" s="1" t="s">
        <v>98</v>
      </c>
      <c r="E5" s="1" t="s">
        <v>131</v>
      </c>
      <c r="F5" s="1" t="s">
        <v>14</v>
      </c>
      <c r="G5" s="1">
        <v>27</v>
      </c>
      <c r="H5" s="5" t="s">
        <v>132</v>
      </c>
      <c r="I5" s="5" t="s">
        <v>133</v>
      </c>
    </row>
    <row r="6" spans="1:9" ht="30" x14ac:dyDescent="0.25">
      <c r="A6" s="5" t="s">
        <v>134</v>
      </c>
      <c r="B6" s="5" t="s">
        <v>41</v>
      </c>
      <c r="C6" s="1" t="s">
        <v>135</v>
      </c>
      <c r="D6" s="1" t="s">
        <v>136</v>
      </c>
      <c r="E6" s="1" t="s">
        <v>137</v>
      </c>
      <c r="F6" s="1" t="s">
        <v>37</v>
      </c>
      <c r="G6" s="1">
        <v>22</v>
      </c>
      <c r="H6" s="5" t="s">
        <v>138</v>
      </c>
      <c r="I6" s="5" t="s">
        <v>60</v>
      </c>
    </row>
    <row r="7" spans="1:9" x14ac:dyDescent="0.25">
      <c r="A7" s="5" t="s">
        <v>139</v>
      </c>
      <c r="B7" s="5" t="s">
        <v>34</v>
      </c>
      <c r="C7" s="1" t="s">
        <v>140</v>
      </c>
      <c r="D7" s="1" t="s">
        <v>141</v>
      </c>
      <c r="E7" s="1" t="s">
        <v>142</v>
      </c>
      <c r="F7" s="1" t="s">
        <v>44</v>
      </c>
      <c r="G7" s="1">
        <v>29</v>
      </c>
      <c r="H7" s="5" t="s">
        <v>101</v>
      </c>
      <c r="I7" s="5" t="s">
        <v>143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CEC1-F3E1-48A3-AC31-CA0CB12052DE}">
  <dimension ref="A1:I7"/>
  <sheetViews>
    <sheetView workbookViewId="0">
      <selection activeCell="A10" sqref="A10"/>
    </sheetView>
  </sheetViews>
  <sheetFormatPr baseColWidth="10" defaultRowHeight="15" x14ac:dyDescent="0.25"/>
  <cols>
    <col min="1" max="2" width="17.28515625" customWidth="1"/>
    <col min="3" max="3" width="24.28515625" customWidth="1"/>
    <col min="4" max="5" width="20.7109375" customWidth="1"/>
    <col min="6" max="7" width="19.42578125" customWidth="1"/>
    <col min="8" max="8" width="13.85546875" customWidth="1"/>
  </cols>
  <sheetData>
    <row r="1" spans="1:9" x14ac:dyDescent="0.25">
      <c r="A1" s="8" t="s">
        <v>242</v>
      </c>
    </row>
    <row r="2" spans="1:9" x14ac:dyDescent="0.25">
      <c r="A2" s="2" t="s">
        <v>0</v>
      </c>
      <c r="B2" s="2" t="s">
        <v>1</v>
      </c>
      <c r="C2" s="4" t="s">
        <v>83</v>
      </c>
      <c r="D2" s="4" t="s">
        <v>3</v>
      </c>
      <c r="E2" s="4" t="s">
        <v>4</v>
      </c>
      <c r="F2" s="4" t="s">
        <v>5</v>
      </c>
      <c r="G2" s="4" t="s">
        <v>6</v>
      </c>
      <c r="H2" s="2" t="s">
        <v>7</v>
      </c>
      <c r="I2" s="2" t="s">
        <v>8</v>
      </c>
    </row>
    <row r="3" spans="1:9" ht="30" x14ac:dyDescent="0.25">
      <c r="A3" s="5" t="s">
        <v>84</v>
      </c>
      <c r="B3" s="5" t="s">
        <v>50</v>
      </c>
      <c r="C3" s="1" t="s">
        <v>85</v>
      </c>
      <c r="D3" s="1" t="s">
        <v>86</v>
      </c>
      <c r="E3" s="1" t="s">
        <v>87</v>
      </c>
      <c r="F3" s="1" t="s">
        <v>88</v>
      </c>
      <c r="G3" s="1">
        <v>12</v>
      </c>
      <c r="H3" s="5" t="s">
        <v>54</v>
      </c>
      <c r="I3" s="5" t="s">
        <v>89</v>
      </c>
    </row>
    <row r="4" spans="1:9" x14ac:dyDescent="0.25">
      <c r="A4" s="5" t="s">
        <v>90</v>
      </c>
      <c r="B4" s="5" t="s">
        <v>10</v>
      </c>
      <c r="C4" s="1" t="s">
        <v>91</v>
      </c>
      <c r="D4" s="1" t="s">
        <v>92</v>
      </c>
      <c r="E4" s="1">
        <v>980</v>
      </c>
      <c r="F4" s="1" t="s">
        <v>93</v>
      </c>
      <c r="G4" s="1" t="s">
        <v>94</v>
      </c>
      <c r="H4" s="5" t="s">
        <v>95</v>
      </c>
      <c r="I4" s="5" t="s">
        <v>96</v>
      </c>
    </row>
    <row r="5" spans="1:9" x14ac:dyDescent="0.25">
      <c r="A5" s="5" t="s">
        <v>97</v>
      </c>
      <c r="B5" s="5" t="s">
        <v>41</v>
      </c>
      <c r="C5" s="1" t="s">
        <v>98</v>
      </c>
      <c r="D5" s="1" t="s">
        <v>99</v>
      </c>
      <c r="E5" s="1">
        <v>710</v>
      </c>
      <c r="F5" s="1" t="s">
        <v>100</v>
      </c>
      <c r="G5" s="1">
        <v>7</v>
      </c>
      <c r="H5" s="5" t="s">
        <v>101</v>
      </c>
      <c r="I5" s="5" t="s">
        <v>102</v>
      </c>
    </row>
    <row r="6" spans="1:9" x14ac:dyDescent="0.25">
      <c r="A6" s="5" t="s">
        <v>103</v>
      </c>
      <c r="B6" s="5" t="s">
        <v>26</v>
      </c>
      <c r="C6" s="1" t="s">
        <v>104</v>
      </c>
      <c r="D6" s="1" t="s">
        <v>105</v>
      </c>
      <c r="E6" s="1">
        <v>560</v>
      </c>
      <c r="F6" s="1" t="s">
        <v>106</v>
      </c>
      <c r="G6" s="1" t="s">
        <v>107</v>
      </c>
      <c r="H6" s="5" t="s">
        <v>108</v>
      </c>
      <c r="I6" s="5" t="s">
        <v>109</v>
      </c>
    </row>
    <row r="7" spans="1:9" x14ac:dyDescent="0.25">
      <c r="A7" s="5" t="s">
        <v>110</v>
      </c>
      <c r="B7" s="5" t="s">
        <v>34</v>
      </c>
      <c r="C7" s="1" t="s">
        <v>111</v>
      </c>
      <c r="D7" s="1" t="s">
        <v>112</v>
      </c>
      <c r="E7" s="1">
        <v>690</v>
      </c>
      <c r="F7" s="1" t="s">
        <v>113</v>
      </c>
      <c r="G7" s="1" t="s">
        <v>114</v>
      </c>
      <c r="H7" s="5" t="s">
        <v>81</v>
      </c>
      <c r="I7" s="5" t="s">
        <v>32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DF7D-BB25-4D5A-91E6-FB9085C1B763}">
  <dimension ref="A1:I7"/>
  <sheetViews>
    <sheetView workbookViewId="0">
      <selection activeCell="E13" sqref="E13"/>
    </sheetView>
  </sheetViews>
  <sheetFormatPr baseColWidth="10" defaultRowHeight="15" x14ac:dyDescent="0.25"/>
  <cols>
    <col min="1" max="2" width="17.28515625" customWidth="1"/>
    <col min="3" max="3" width="24.28515625" customWidth="1"/>
    <col min="4" max="5" width="20.7109375" customWidth="1"/>
    <col min="6" max="7" width="19.42578125" customWidth="1"/>
    <col min="8" max="8" width="13.85546875" customWidth="1"/>
  </cols>
  <sheetData>
    <row r="1" spans="1:9" x14ac:dyDescent="0.25">
      <c r="A1" t="s">
        <v>244</v>
      </c>
    </row>
    <row r="2" spans="1:9" x14ac:dyDescent="0.25">
      <c r="A2" s="2" t="s">
        <v>0</v>
      </c>
      <c r="B2" s="2" t="s">
        <v>1</v>
      </c>
      <c r="C2" s="4" t="s">
        <v>144</v>
      </c>
      <c r="D2" s="4" t="s">
        <v>3</v>
      </c>
      <c r="E2" s="4" t="s">
        <v>4</v>
      </c>
      <c r="F2" s="4" t="s">
        <v>5</v>
      </c>
      <c r="G2" s="4" t="s">
        <v>6</v>
      </c>
      <c r="H2" s="2" t="s">
        <v>7</v>
      </c>
      <c r="I2" s="2" t="s">
        <v>8</v>
      </c>
    </row>
    <row r="3" spans="1:9" ht="30" x14ac:dyDescent="0.25">
      <c r="A3" s="5" t="s">
        <v>145</v>
      </c>
      <c r="B3" s="5" t="s">
        <v>50</v>
      </c>
      <c r="C3" s="1" t="s">
        <v>13</v>
      </c>
      <c r="D3" s="1" t="s">
        <v>146</v>
      </c>
      <c r="E3" s="1" t="s">
        <v>147</v>
      </c>
      <c r="F3" s="1" t="s">
        <v>148</v>
      </c>
      <c r="G3" s="1">
        <v>40</v>
      </c>
      <c r="H3" s="5" t="s">
        <v>149</v>
      </c>
      <c r="I3" s="5" t="s">
        <v>32</v>
      </c>
    </row>
    <row r="4" spans="1:9" x14ac:dyDescent="0.25">
      <c r="A4" s="5" t="s">
        <v>150</v>
      </c>
      <c r="B4" s="5" t="s">
        <v>10</v>
      </c>
      <c r="C4" s="1">
        <v>850</v>
      </c>
      <c r="D4" s="1">
        <v>830</v>
      </c>
      <c r="E4" s="1">
        <v>780</v>
      </c>
      <c r="F4" s="1" t="s">
        <v>151</v>
      </c>
      <c r="G4" s="1">
        <v>12</v>
      </c>
      <c r="H4" s="5" t="s">
        <v>152</v>
      </c>
      <c r="I4" s="5" t="s">
        <v>75</v>
      </c>
    </row>
    <row r="5" spans="1:9" ht="30" x14ac:dyDescent="0.25">
      <c r="A5" s="5" t="s">
        <v>153</v>
      </c>
      <c r="B5" s="5" t="s">
        <v>26</v>
      </c>
      <c r="C5" s="1" t="s">
        <v>154</v>
      </c>
      <c r="D5" s="1" t="s">
        <v>155</v>
      </c>
      <c r="E5" s="1" t="s">
        <v>137</v>
      </c>
      <c r="F5" s="1" t="s">
        <v>22</v>
      </c>
      <c r="G5" s="1">
        <v>55</v>
      </c>
      <c r="H5" s="5" t="s">
        <v>156</v>
      </c>
      <c r="I5" s="5" t="s">
        <v>16</v>
      </c>
    </row>
    <row r="6" spans="1:9" x14ac:dyDescent="0.25">
      <c r="A6" s="5" t="s">
        <v>157</v>
      </c>
      <c r="B6" s="5" t="s">
        <v>41</v>
      </c>
      <c r="C6" s="1">
        <v>650</v>
      </c>
      <c r="D6" s="1">
        <v>620</v>
      </c>
      <c r="E6" s="1">
        <v>520</v>
      </c>
      <c r="F6" s="1" t="s">
        <v>158</v>
      </c>
      <c r="G6" s="1">
        <v>8</v>
      </c>
      <c r="H6" s="5" t="s">
        <v>159</v>
      </c>
      <c r="I6" s="5" t="s">
        <v>160</v>
      </c>
    </row>
    <row r="7" spans="1:9" x14ac:dyDescent="0.25">
      <c r="A7" s="5" t="s">
        <v>161</v>
      </c>
      <c r="B7" s="5" t="s">
        <v>18</v>
      </c>
      <c r="C7" s="1">
        <v>780</v>
      </c>
      <c r="D7" s="1">
        <v>760</v>
      </c>
      <c r="E7" s="1">
        <v>610</v>
      </c>
      <c r="F7" s="1" t="s">
        <v>162</v>
      </c>
      <c r="G7" s="1">
        <v>10</v>
      </c>
      <c r="H7" s="5" t="s">
        <v>101</v>
      </c>
      <c r="I7" s="5" t="s">
        <v>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F440F-98FA-426D-B49F-D3A693E4E68F}">
  <dimension ref="A1:G27"/>
  <sheetViews>
    <sheetView workbookViewId="0">
      <selection activeCell="J13" sqref="J13"/>
    </sheetView>
  </sheetViews>
  <sheetFormatPr baseColWidth="10" defaultRowHeight="15" x14ac:dyDescent="0.25"/>
  <cols>
    <col min="1" max="1" width="21.140625" customWidth="1"/>
    <col min="2" max="2" width="23.28515625" customWidth="1"/>
    <col min="3" max="3" width="24.28515625" customWidth="1"/>
    <col min="4" max="5" width="20.7109375" customWidth="1"/>
    <col min="6" max="7" width="19.42578125" customWidth="1"/>
    <col min="8" max="8" width="13.85546875" customWidth="1"/>
  </cols>
  <sheetData>
    <row r="1" spans="1:7" x14ac:dyDescent="0.25">
      <c r="A1" s="8" t="s">
        <v>245</v>
      </c>
    </row>
    <row r="2" spans="1:7" ht="32.25" customHeight="1" x14ac:dyDescent="0.25">
      <c r="A2" s="2" t="s">
        <v>163</v>
      </c>
      <c r="B2" s="2" t="s">
        <v>0</v>
      </c>
      <c r="C2" s="2" t="s">
        <v>1</v>
      </c>
      <c r="D2" s="2" t="s">
        <v>164</v>
      </c>
      <c r="E2" s="2" t="s">
        <v>165</v>
      </c>
      <c r="F2" s="2" t="s">
        <v>6</v>
      </c>
      <c r="G2" s="2" t="s">
        <v>7</v>
      </c>
    </row>
    <row r="3" spans="1:7" ht="30" x14ac:dyDescent="0.25">
      <c r="A3" s="5" t="s">
        <v>166</v>
      </c>
      <c r="B3" s="5" t="s">
        <v>9</v>
      </c>
      <c r="C3" s="5" t="s">
        <v>10</v>
      </c>
      <c r="D3" s="1" t="s">
        <v>12</v>
      </c>
      <c r="E3" s="1" t="s">
        <v>13</v>
      </c>
      <c r="F3" s="1">
        <v>45</v>
      </c>
      <c r="G3" s="5" t="s">
        <v>15</v>
      </c>
    </row>
    <row r="4" spans="1:7" x14ac:dyDescent="0.25">
      <c r="A4" s="5" t="s">
        <v>166</v>
      </c>
      <c r="B4" s="5" t="s">
        <v>17</v>
      </c>
      <c r="C4" s="5" t="s">
        <v>18</v>
      </c>
      <c r="D4" s="1" t="s">
        <v>20</v>
      </c>
      <c r="E4" s="1" t="s">
        <v>21</v>
      </c>
      <c r="F4" s="1">
        <v>38</v>
      </c>
      <c r="G4" s="5" t="s">
        <v>23</v>
      </c>
    </row>
    <row r="5" spans="1:7" x14ac:dyDescent="0.25">
      <c r="A5" s="5" t="s">
        <v>166</v>
      </c>
      <c r="B5" s="5" t="s">
        <v>25</v>
      </c>
      <c r="C5" s="5" t="s">
        <v>26</v>
      </c>
      <c r="D5" s="1" t="s">
        <v>28</v>
      </c>
      <c r="E5" s="1" t="s">
        <v>29</v>
      </c>
      <c r="F5" s="1">
        <v>110</v>
      </c>
      <c r="G5" s="5" t="s">
        <v>31</v>
      </c>
    </row>
    <row r="6" spans="1:7" x14ac:dyDescent="0.25">
      <c r="A6" s="5" t="s">
        <v>166</v>
      </c>
      <c r="B6" s="5" t="s">
        <v>33</v>
      </c>
      <c r="C6" s="5" t="s">
        <v>34</v>
      </c>
      <c r="D6" s="1" t="s">
        <v>36</v>
      </c>
      <c r="E6" s="1">
        <v>850</v>
      </c>
      <c r="F6" s="1">
        <v>22</v>
      </c>
      <c r="G6" s="5" t="s">
        <v>38</v>
      </c>
    </row>
    <row r="7" spans="1:7" x14ac:dyDescent="0.25">
      <c r="A7" s="5" t="s">
        <v>166</v>
      </c>
      <c r="B7" s="5" t="s">
        <v>40</v>
      </c>
      <c r="C7" s="5" t="s">
        <v>41</v>
      </c>
      <c r="D7" s="1" t="s">
        <v>20</v>
      </c>
      <c r="E7" s="1" t="s">
        <v>43</v>
      </c>
      <c r="F7" s="1">
        <v>30</v>
      </c>
      <c r="G7" s="5" t="s">
        <v>45</v>
      </c>
    </row>
    <row r="8" spans="1:7" x14ac:dyDescent="0.25">
      <c r="A8" s="5" t="s">
        <v>167</v>
      </c>
      <c r="B8" s="5" t="s">
        <v>49</v>
      </c>
      <c r="C8" s="5" t="s">
        <v>50</v>
      </c>
      <c r="D8" s="1" t="s">
        <v>168</v>
      </c>
      <c r="E8" s="1">
        <v>420</v>
      </c>
      <c r="F8" s="1">
        <v>5</v>
      </c>
      <c r="G8" s="5" t="s">
        <v>54</v>
      </c>
    </row>
    <row r="9" spans="1:7" x14ac:dyDescent="0.25">
      <c r="A9" s="5" t="s">
        <v>167</v>
      </c>
      <c r="B9" s="5" t="s">
        <v>55</v>
      </c>
      <c r="C9" s="5" t="s">
        <v>10</v>
      </c>
      <c r="D9" s="1" t="s">
        <v>169</v>
      </c>
      <c r="E9" s="1">
        <v>560</v>
      </c>
      <c r="F9" s="1">
        <v>8</v>
      </c>
      <c r="G9" s="5" t="s">
        <v>59</v>
      </c>
    </row>
    <row r="10" spans="1:7" x14ac:dyDescent="0.25">
      <c r="A10" s="5" t="s">
        <v>167</v>
      </c>
      <c r="B10" s="5" t="s">
        <v>61</v>
      </c>
      <c r="C10" s="5" t="s">
        <v>62</v>
      </c>
      <c r="D10" s="1" t="s">
        <v>170</v>
      </c>
      <c r="E10" s="1">
        <v>290</v>
      </c>
      <c r="F10" s="1" t="s">
        <v>66</v>
      </c>
      <c r="G10" s="5" t="s">
        <v>67</v>
      </c>
    </row>
    <row r="11" spans="1:7" x14ac:dyDescent="0.25">
      <c r="A11" s="5" t="s">
        <v>167</v>
      </c>
      <c r="B11" s="5" t="s">
        <v>69</v>
      </c>
      <c r="C11" s="5" t="s">
        <v>18</v>
      </c>
      <c r="D11" s="1" t="s">
        <v>171</v>
      </c>
      <c r="E11" s="1">
        <v>510</v>
      </c>
      <c r="F11" s="1" t="s">
        <v>73</v>
      </c>
      <c r="G11" s="5" t="s">
        <v>74</v>
      </c>
    </row>
    <row r="12" spans="1:7" x14ac:dyDescent="0.25">
      <c r="A12" s="5" t="s">
        <v>167</v>
      </c>
      <c r="B12" s="5" t="s">
        <v>76</v>
      </c>
      <c r="C12" s="5" t="s">
        <v>26</v>
      </c>
      <c r="D12" s="1" t="s">
        <v>172</v>
      </c>
      <c r="E12" s="1">
        <v>620</v>
      </c>
      <c r="F12" s="1" t="s">
        <v>80</v>
      </c>
      <c r="G12" s="5" t="s">
        <v>81</v>
      </c>
    </row>
    <row r="13" spans="1:7" x14ac:dyDescent="0.25">
      <c r="A13" s="5" t="s">
        <v>173</v>
      </c>
      <c r="B13" s="5" t="s">
        <v>84</v>
      </c>
      <c r="C13" s="5" t="s">
        <v>50</v>
      </c>
      <c r="D13" s="1" t="s">
        <v>174</v>
      </c>
      <c r="E13" s="1" t="s">
        <v>87</v>
      </c>
      <c r="F13" s="1">
        <v>12</v>
      </c>
      <c r="G13" s="5" t="s">
        <v>54</v>
      </c>
    </row>
    <row r="14" spans="1:7" x14ac:dyDescent="0.25">
      <c r="A14" s="5" t="s">
        <v>173</v>
      </c>
      <c r="B14" s="5" t="s">
        <v>90</v>
      </c>
      <c r="C14" s="5" t="s">
        <v>10</v>
      </c>
      <c r="D14" s="1" t="s">
        <v>175</v>
      </c>
      <c r="E14" s="1">
        <v>980</v>
      </c>
      <c r="F14" s="1" t="s">
        <v>94</v>
      </c>
      <c r="G14" s="5" t="s">
        <v>95</v>
      </c>
    </row>
    <row r="15" spans="1:7" x14ac:dyDescent="0.25">
      <c r="A15" s="5" t="s">
        <v>173</v>
      </c>
      <c r="B15" s="5" t="s">
        <v>97</v>
      </c>
      <c r="C15" s="5" t="s">
        <v>41</v>
      </c>
      <c r="D15" s="1" t="s">
        <v>176</v>
      </c>
      <c r="E15" s="1">
        <v>710</v>
      </c>
      <c r="F15" s="1">
        <v>7</v>
      </c>
      <c r="G15" s="5" t="s">
        <v>101</v>
      </c>
    </row>
    <row r="16" spans="1:7" x14ac:dyDescent="0.25">
      <c r="A16" s="5" t="s">
        <v>173</v>
      </c>
      <c r="B16" s="5" t="s">
        <v>103</v>
      </c>
      <c r="C16" s="5" t="s">
        <v>26</v>
      </c>
      <c r="D16" s="1" t="s">
        <v>177</v>
      </c>
      <c r="E16" s="1">
        <v>560</v>
      </c>
      <c r="F16" s="1" t="s">
        <v>107</v>
      </c>
      <c r="G16" s="5" t="s">
        <v>108</v>
      </c>
    </row>
    <row r="17" spans="1:7" x14ac:dyDescent="0.25">
      <c r="A17" s="5" t="s">
        <v>173</v>
      </c>
      <c r="B17" s="5" t="s">
        <v>110</v>
      </c>
      <c r="C17" s="5" t="s">
        <v>34</v>
      </c>
      <c r="D17" s="1" t="s">
        <v>178</v>
      </c>
      <c r="E17" s="1">
        <v>690</v>
      </c>
      <c r="F17" s="1" t="s">
        <v>114</v>
      </c>
      <c r="G17" s="5" t="s">
        <v>81</v>
      </c>
    </row>
    <row r="18" spans="1:7" x14ac:dyDescent="0.25">
      <c r="A18" s="5" t="s">
        <v>179</v>
      </c>
      <c r="B18" s="5" t="s">
        <v>116</v>
      </c>
      <c r="C18" s="5" t="s">
        <v>50</v>
      </c>
      <c r="D18" s="1" t="s">
        <v>180</v>
      </c>
      <c r="E18" s="1" t="s">
        <v>119</v>
      </c>
      <c r="F18" s="1">
        <v>25</v>
      </c>
      <c r="G18" s="5" t="s">
        <v>121</v>
      </c>
    </row>
    <row r="19" spans="1:7" x14ac:dyDescent="0.25">
      <c r="A19" s="5" t="s">
        <v>179</v>
      </c>
      <c r="B19" s="5" t="s">
        <v>122</v>
      </c>
      <c r="C19" s="5" t="s">
        <v>10</v>
      </c>
      <c r="D19" s="1" t="s">
        <v>181</v>
      </c>
      <c r="E19" s="1" t="s">
        <v>125</v>
      </c>
      <c r="F19" s="1">
        <v>33</v>
      </c>
      <c r="G19" s="5" t="s">
        <v>127</v>
      </c>
    </row>
    <row r="20" spans="1:7" x14ac:dyDescent="0.25">
      <c r="A20" s="5" t="s">
        <v>179</v>
      </c>
      <c r="B20" s="5" t="s">
        <v>129</v>
      </c>
      <c r="C20" s="5" t="s">
        <v>26</v>
      </c>
      <c r="D20" s="1" t="s">
        <v>182</v>
      </c>
      <c r="E20" s="1" t="s">
        <v>131</v>
      </c>
      <c r="F20" s="1">
        <v>27</v>
      </c>
      <c r="G20" s="5" t="s">
        <v>132</v>
      </c>
    </row>
    <row r="21" spans="1:7" ht="30" x14ac:dyDescent="0.25">
      <c r="A21" s="5" t="s">
        <v>179</v>
      </c>
      <c r="B21" s="5" t="s">
        <v>134</v>
      </c>
      <c r="C21" s="5" t="s">
        <v>41</v>
      </c>
      <c r="D21" s="1" t="s">
        <v>183</v>
      </c>
      <c r="E21" s="1" t="s">
        <v>137</v>
      </c>
      <c r="F21" s="1">
        <v>22</v>
      </c>
      <c r="G21" s="5" t="s">
        <v>138</v>
      </c>
    </row>
    <row r="22" spans="1:7" x14ac:dyDescent="0.25">
      <c r="A22" s="5" t="s">
        <v>179</v>
      </c>
      <c r="B22" s="5" t="s">
        <v>139</v>
      </c>
      <c r="C22" s="5" t="s">
        <v>34</v>
      </c>
      <c r="D22" s="1" t="s">
        <v>184</v>
      </c>
      <c r="E22" s="1" t="s">
        <v>142</v>
      </c>
      <c r="F22" s="1">
        <v>29</v>
      </c>
      <c r="G22" s="5" t="s">
        <v>101</v>
      </c>
    </row>
    <row r="23" spans="1:7" x14ac:dyDescent="0.25">
      <c r="A23" s="5" t="s">
        <v>185</v>
      </c>
      <c r="B23" s="5" t="s">
        <v>145</v>
      </c>
      <c r="C23" s="5" t="s">
        <v>50</v>
      </c>
      <c r="D23" s="1" t="s">
        <v>186</v>
      </c>
      <c r="E23" s="1" t="s">
        <v>147</v>
      </c>
      <c r="F23" s="1">
        <v>40</v>
      </c>
      <c r="G23" s="5" t="s">
        <v>149</v>
      </c>
    </row>
    <row r="24" spans="1:7" x14ac:dyDescent="0.25">
      <c r="A24" s="5" t="s">
        <v>185</v>
      </c>
      <c r="B24" s="5" t="s">
        <v>150</v>
      </c>
      <c r="C24" s="5" t="s">
        <v>10</v>
      </c>
      <c r="D24" s="1" t="s">
        <v>187</v>
      </c>
      <c r="E24" s="1">
        <v>780</v>
      </c>
      <c r="F24" s="1">
        <v>12</v>
      </c>
      <c r="G24" s="5" t="s">
        <v>152</v>
      </c>
    </row>
    <row r="25" spans="1:7" x14ac:dyDescent="0.25">
      <c r="A25" s="5" t="s">
        <v>185</v>
      </c>
      <c r="B25" s="5" t="s">
        <v>153</v>
      </c>
      <c r="C25" s="5" t="s">
        <v>26</v>
      </c>
      <c r="D25" s="1" t="s">
        <v>188</v>
      </c>
      <c r="E25" s="1" t="s">
        <v>137</v>
      </c>
      <c r="F25" s="1">
        <v>55</v>
      </c>
      <c r="G25" s="5" t="s">
        <v>156</v>
      </c>
    </row>
    <row r="26" spans="1:7" x14ac:dyDescent="0.25">
      <c r="A26" s="5" t="s">
        <v>185</v>
      </c>
      <c r="B26" s="5" t="s">
        <v>157</v>
      </c>
      <c r="C26" s="5" t="s">
        <v>41</v>
      </c>
      <c r="D26" s="1" t="s">
        <v>189</v>
      </c>
      <c r="E26" s="1">
        <v>520</v>
      </c>
      <c r="F26" s="1">
        <v>8</v>
      </c>
      <c r="G26" s="5" t="s">
        <v>159</v>
      </c>
    </row>
    <row r="27" spans="1:7" x14ac:dyDescent="0.25">
      <c r="A27" s="5" t="s">
        <v>185</v>
      </c>
      <c r="B27" s="5" t="s">
        <v>161</v>
      </c>
      <c r="C27" s="5" t="s">
        <v>18</v>
      </c>
      <c r="D27" s="1" t="s">
        <v>190</v>
      </c>
      <c r="E27" s="1">
        <v>610</v>
      </c>
      <c r="F27" s="1">
        <v>10</v>
      </c>
      <c r="G27" s="5" t="s">
        <v>101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E4B9-7178-4169-8690-87B480B4C499}">
  <dimension ref="A1:F87"/>
  <sheetViews>
    <sheetView topLeftCell="A77" workbookViewId="0">
      <selection activeCell="I81" sqref="I81"/>
    </sheetView>
  </sheetViews>
  <sheetFormatPr baseColWidth="10" defaultRowHeight="15" x14ac:dyDescent="0.25"/>
  <sheetData>
    <row r="1" spans="1:1" x14ac:dyDescent="0.25">
      <c r="A1" t="s">
        <v>191</v>
      </c>
    </row>
    <row r="5" spans="1:1" ht="24" x14ac:dyDescent="0.25">
      <c r="A5" s="6" t="s">
        <v>192</v>
      </c>
    </row>
    <row r="6" spans="1:1" x14ac:dyDescent="0.25">
      <c r="A6" s="7"/>
    </row>
    <row r="7" spans="1:1" x14ac:dyDescent="0.25">
      <c r="A7" s="9" t="s">
        <v>193</v>
      </c>
    </row>
    <row r="8" spans="1:1" x14ac:dyDescent="0.25">
      <c r="A8" s="7"/>
    </row>
    <row r="9" spans="1:1" x14ac:dyDescent="0.25">
      <c r="A9" s="9" t="s">
        <v>194</v>
      </c>
    </row>
    <row r="10" spans="1:1" x14ac:dyDescent="0.25">
      <c r="A10" s="7"/>
    </row>
    <row r="11" spans="1:1" x14ac:dyDescent="0.25">
      <c r="A11" s="9" t="s">
        <v>195</v>
      </c>
    </row>
    <row r="12" spans="1:1" x14ac:dyDescent="0.25">
      <c r="A12" s="7"/>
    </row>
    <row r="13" spans="1:1" x14ac:dyDescent="0.25">
      <c r="A13" s="9" t="s">
        <v>196</v>
      </c>
    </row>
    <row r="14" spans="1:1" x14ac:dyDescent="0.25">
      <c r="A14" s="7"/>
    </row>
    <row r="15" spans="1:1" x14ac:dyDescent="0.25">
      <c r="A15" s="9" t="s">
        <v>197</v>
      </c>
    </row>
    <row r="19" spans="1:1" ht="24" x14ac:dyDescent="0.25">
      <c r="A19" s="6" t="s">
        <v>198</v>
      </c>
    </row>
    <row r="20" spans="1:1" x14ac:dyDescent="0.25">
      <c r="A20" s="7"/>
    </row>
    <row r="21" spans="1:1" x14ac:dyDescent="0.25">
      <c r="A21" s="9" t="s">
        <v>199</v>
      </c>
    </row>
    <row r="22" spans="1:1" x14ac:dyDescent="0.25">
      <c r="A22" s="7"/>
    </row>
    <row r="23" spans="1:1" x14ac:dyDescent="0.25">
      <c r="A23" s="9" t="s">
        <v>200</v>
      </c>
    </row>
    <row r="24" spans="1:1" x14ac:dyDescent="0.25">
      <c r="A24" s="7"/>
    </row>
    <row r="25" spans="1:1" x14ac:dyDescent="0.25">
      <c r="A25" s="9" t="s">
        <v>201</v>
      </c>
    </row>
    <row r="26" spans="1:1" x14ac:dyDescent="0.25">
      <c r="A26" s="7"/>
    </row>
    <row r="27" spans="1:1" x14ac:dyDescent="0.25">
      <c r="A27" s="9" t="s">
        <v>202</v>
      </c>
    </row>
    <row r="28" spans="1:1" x14ac:dyDescent="0.25">
      <c r="A28" s="7"/>
    </row>
    <row r="29" spans="1:1" x14ac:dyDescent="0.25">
      <c r="A29" s="9" t="s">
        <v>203</v>
      </c>
    </row>
    <row r="33" spans="1:1" ht="24" x14ac:dyDescent="0.25">
      <c r="A33" s="6" t="s">
        <v>204</v>
      </c>
    </row>
    <row r="34" spans="1:1" x14ac:dyDescent="0.25">
      <c r="A34" s="7"/>
    </row>
    <row r="35" spans="1:1" x14ac:dyDescent="0.25">
      <c r="A35" s="9" t="s">
        <v>205</v>
      </c>
    </row>
    <row r="36" spans="1:1" x14ac:dyDescent="0.25">
      <c r="A36" s="7"/>
    </row>
    <row r="37" spans="1:1" x14ac:dyDescent="0.25">
      <c r="A37" s="9" t="s">
        <v>206</v>
      </c>
    </row>
    <row r="38" spans="1:1" x14ac:dyDescent="0.25">
      <c r="A38" s="7"/>
    </row>
    <row r="39" spans="1:1" x14ac:dyDescent="0.25">
      <c r="A39" s="9" t="s">
        <v>207</v>
      </c>
    </row>
    <row r="40" spans="1:1" x14ac:dyDescent="0.25">
      <c r="A40" s="7"/>
    </row>
    <row r="41" spans="1:1" x14ac:dyDescent="0.25">
      <c r="A41" s="9" t="s">
        <v>208</v>
      </c>
    </row>
    <row r="42" spans="1:1" x14ac:dyDescent="0.25">
      <c r="A42" s="7"/>
    </row>
    <row r="43" spans="1:1" x14ac:dyDescent="0.25">
      <c r="A43" s="9" t="s">
        <v>209</v>
      </c>
    </row>
    <row r="47" spans="1:1" ht="24" x14ac:dyDescent="0.25">
      <c r="A47" s="6" t="s">
        <v>210</v>
      </c>
    </row>
    <row r="48" spans="1:1" x14ac:dyDescent="0.25">
      <c r="A48" s="7"/>
    </row>
    <row r="49" spans="1:1" x14ac:dyDescent="0.25">
      <c r="A49" s="9" t="s">
        <v>211</v>
      </c>
    </row>
    <row r="50" spans="1:1" x14ac:dyDescent="0.25">
      <c r="A50" s="7"/>
    </row>
    <row r="51" spans="1:1" x14ac:dyDescent="0.25">
      <c r="A51" s="9" t="s">
        <v>212</v>
      </c>
    </row>
    <row r="52" spans="1:1" x14ac:dyDescent="0.25">
      <c r="A52" s="7"/>
    </row>
    <row r="53" spans="1:1" x14ac:dyDescent="0.25">
      <c r="A53" s="9" t="s">
        <v>213</v>
      </c>
    </row>
    <row r="54" spans="1:1" x14ac:dyDescent="0.25">
      <c r="A54" s="7"/>
    </row>
    <row r="55" spans="1:1" x14ac:dyDescent="0.25">
      <c r="A55" s="9" t="s">
        <v>214</v>
      </c>
    </row>
    <row r="56" spans="1:1" x14ac:dyDescent="0.25">
      <c r="A56" s="7"/>
    </row>
    <row r="57" spans="1:1" x14ac:dyDescent="0.25">
      <c r="A57" s="9" t="s">
        <v>215</v>
      </c>
    </row>
    <row r="61" spans="1:1" ht="24" x14ac:dyDescent="0.25">
      <c r="A61" s="6" t="s">
        <v>216</v>
      </c>
    </row>
    <row r="62" spans="1:1" x14ac:dyDescent="0.25">
      <c r="A62" s="7"/>
    </row>
    <row r="63" spans="1:1" x14ac:dyDescent="0.25">
      <c r="A63" s="9" t="s">
        <v>217</v>
      </c>
    </row>
    <row r="64" spans="1:1" x14ac:dyDescent="0.25">
      <c r="A64" s="7"/>
    </row>
    <row r="65" spans="1:6" x14ac:dyDescent="0.25">
      <c r="A65" s="9" t="s">
        <v>218</v>
      </c>
    </row>
    <row r="66" spans="1:6" x14ac:dyDescent="0.25">
      <c r="A66" s="7"/>
    </row>
    <row r="67" spans="1:6" x14ac:dyDescent="0.25">
      <c r="A67" s="9" t="s">
        <v>219</v>
      </c>
    </row>
    <row r="68" spans="1:6" x14ac:dyDescent="0.25">
      <c r="A68" s="7"/>
    </row>
    <row r="69" spans="1:6" x14ac:dyDescent="0.25">
      <c r="A69" s="9" t="s">
        <v>220</v>
      </c>
    </row>
    <row r="70" spans="1:6" x14ac:dyDescent="0.25">
      <c r="A70" s="7"/>
    </row>
    <row r="71" spans="1:6" x14ac:dyDescent="0.25">
      <c r="A71" s="9" t="s">
        <v>221</v>
      </c>
    </row>
    <row r="75" spans="1:6" ht="18" x14ac:dyDescent="0.25">
      <c r="A75" s="10" t="s">
        <v>222</v>
      </c>
    </row>
    <row r="77" spans="1:6" ht="30" x14ac:dyDescent="0.25">
      <c r="A77" s="2" t="s">
        <v>163</v>
      </c>
      <c r="B77" s="2" t="s">
        <v>223</v>
      </c>
      <c r="C77" s="2" t="s">
        <v>224</v>
      </c>
      <c r="D77" s="2" t="s">
        <v>5</v>
      </c>
      <c r="E77" s="2" t="s">
        <v>225</v>
      </c>
      <c r="F77" s="2" t="s">
        <v>226</v>
      </c>
    </row>
    <row r="78" spans="1:6" ht="120" x14ac:dyDescent="0.25">
      <c r="A78" s="5" t="s">
        <v>166</v>
      </c>
      <c r="B78" s="5" t="s">
        <v>227</v>
      </c>
      <c r="C78" s="5" t="s">
        <v>228</v>
      </c>
      <c r="D78" s="5" t="s">
        <v>229</v>
      </c>
      <c r="E78" s="5" t="s">
        <v>227</v>
      </c>
      <c r="F78" s="5" t="s">
        <v>230</v>
      </c>
    </row>
    <row r="79" spans="1:6" ht="90" x14ac:dyDescent="0.25">
      <c r="A79" s="5" t="s">
        <v>167</v>
      </c>
      <c r="B79" s="5" t="s">
        <v>228</v>
      </c>
      <c r="C79" s="5" t="s">
        <v>229</v>
      </c>
      <c r="D79" s="5" t="s">
        <v>231</v>
      </c>
      <c r="E79" s="5" t="s">
        <v>229</v>
      </c>
      <c r="F79" s="5" t="s">
        <v>232</v>
      </c>
    </row>
    <row r="80" spans="1:6" ht="105" x14ac:dyDescent="0.25">
      <c r="A80" s="5" t="s">
        <v>173</v>
      </c>
      <c r="B80" s="5" t="s">
        <v>233</v>
      </c>
      <c r="C80" s="5" t="s">
        <v>228</v>
      </c>
      <c r="D80" s="5" t="s">
        <v>231</v>
      </c>
      <c r="E80" s="5" t="s">
        <v>228</v>
      </c>
      <c r="F80" s="5" t="s">
        <v>234</v>
      </c>
    </row>
    <row r="81" spans="1:6" ht="90" x14ac:dyDescent="0.25">
      <c r="A81" s="5" t="s">
        <v>179</v>
      </c>
      <c r="B81" s="5" t="s">
        <v>228</v>
      </c>
      <c r="C81" s="5" t="s">
        <v>227</v>
      </c>
      <c r="D81" s="5" t="s">
        <v>229</v>
      </c>
      <c r="E81" s="5" t="s">
        <v>233</v>
      </c>
      <c r="F81" s="5" t="s">
        <v>235</v>
      </c>
    </row>
    <row r="82" spans="1:6" ht="120" x14ac:dyDescent="0.25">
      <c r="A82" s="5" t="s">
        <v>185</v>
      </c>
      <c r="B82" s="5" t="s">
        <v>233</v>
      </c>
      <c r="C82" s="5" t="s">
        <v>228</v>
      </c>
      <c r="D82" s="5" t="s">
        <v>236</v>
      </c>
      <c r="E82" s="5" t="s">
        <v>228</v>
      </c>
      <c r="F82" s="5" t="s">
        <v>237</v>
      </c>
    </row>
    <row r="85" spans="1:6" x14ac:dyDescent="0.25">
      <c r="A85" t="s">
        <v>238</v>
      </c>
    </row>
    <row r="87" spans="1:6" x14ac:dyDescent="0.25">
      <c r="A87" t="s">
        <v>239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Collecte données</vt:lpstr>
      <vt:lpstr>MINES</vt:lpstr>
      <vt:lpstr>AGROINDUS</vt:lpstr>
      <vt:lpstr>BTP</vt:lpstr>
      <vt:lpstr>MANUFACTURES</vt:lpstr>
      <vt:lpstr>ENERGIE</vt:lpstr>
      <vt:lpstr>CONSOLIDATION</vt:lpstr>
      <vt:lpstr>Analyse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Moussa KANE</dc:creator>
  <cp:lastModifiedBy>Moussa KANE</cp:lastModifiedBy>
  <dcterms:created xsi:type="dcterms:W3CDTF">2026-04-10T07:04:08Z</dcterms:created>
  <dcterms:modified xsi:type="dcterms:W3CDTF">2026-04-10T16:53:05Z</dcterms:modified>
</cp:coreProperties>
</file>