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LENOVO\Desktop\"/>
    </mc:Choice>
  </mc:AlternateContent>
  <xr:revisionPtr revIDLastSave="0" documentId="13_ncr:1_{6B3D29D4-4754-41C7-8A86-A9918E686066}" xr6:coauthVersionLast="47" xr6:coauthVersionMax="47" xr10:uidLastSave="{00000000-0000-0000-0000-000000000000}"/>
  <bookViews>
    <workbookView xWindow="-120" yWindow="-120" windowWidth="29040" windowHeight="15720" tabRatio="900" activeTab="3" xr2:uid="{81FC1946-0CFB-49F2-8316-D8A1A1A0998F}"/>
  </bookViews>
  <sheets>
    <sheet name="Structure" sheetId="2" r:id="rId1"/>
    <sheet name="Paramétrage" sheetId="1" r:id="rId2"/>
    <sheet name="Industrie" sheetId="3" r:id="rId3"/>
    <sheet name="Structure de la matrice" sheetId="4" r:id="rId4"/>
    <sheet name="Extraction minière" sheetId="5" r:id="rId5"/>
    <sheet name="Industries manufacturières" sheetId="6" r:id="rId6"/>
    <sheet name="Énergie, gaz et eau" sheetId="7" r:id="rId7"/>
    <sheet name="Chimie et matériaux" sheetId="8" r:id="rId8"/>
    <sheet name="Textile, habillement et cuir" sheetId="9" r:id="rId9"/>
    <sheet name="Métallurgie et produits métalli" sheetId="12" r:id="rId10"/>
    <sheet name="Bois et papier" sheetId="10" r:id="rId11"/>
    <sheet name="CONTRAINTES ENTREPRISES" sheetId="11" r:id="rId12"/>
    <sheet name="PERSPECTIVES" sheetId="13"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6" i="4" l="1"/>
  <c r="E15" i="4"/>
  <c r="E14" i="4"/>
  <c r="F17" i="4" a="1"/>
  <c r="F17" i="4" s="1"/>
  <c r="G15" i="4" a="1"/>
  <c r="G15" i="4"/>
  <c r="G14" i="4" a="1"/>
  <c r="G14" i="4" s="1"/>
  <c r="G16" i="4" a="1"/>
  <c r="G16" i="4" s="1"/>
  <c r="C6" i="10" a="1"/>
  <c r="C6" i="10" s="1"/>
  <c r="C5" i="10" a="1"/>
  <c r="C5" i="10" s="1"/>
  <c r="C4" i="10" a="1"/>
  <c r="C4" i="10" s="1"/>
  <c r="C3" i="10" a="1"/>
  <c r="C3" i="10" s="1"/>
  <c r="C6" i="12" a="1"/>
  <c r="C6" i="12"/>
  <c r="C5" i="12" a="1"/>
  <c r="C5" i="12" s="1"/>
  <c r="C4" i="12" a="1"/>
  <c r="C4" i="12" s="1"/>
  <c r="C3" i="12" a="1"/>
  <c r="C3" i="12" s="1"/>
  <c r="C5" i="9" a="1"/>
  <c r="C5" i="9" s="1"/>
  <c r="C4" i="9" a="1"/>
  <c r="C4" i="9" s="1"/>
  <c r="C3" i="9" a="1"/>
  <c r="C3" i="9" s="1"/>
  <c r="C5" i="8" a="1"/>
  <c r="C5" i="8" s="1"/>
  <c r="C4" i="8" a="1"/>
  <c r="C4" i="8" s="1"/>
  <c r="C3" i="8" a="1"/>
  <c r="C3" i="8" s="1"/>
  <c r="C5" i="7" a="1"/>
  <c r="C5" i="7" s="1"/>
  <c r="C6" i="7" a="1"/>
  <c r="C6" i="7" s="1"/>
  <c r="C4" i="7" a="1"/>
  <c r="C4" i="7" s="1"/>
  <c r="C3" i="7" a="1"/>
  <c r="C3" i="7" s="1"/>
  <c r="C6" i="6" a="1"/>
  <c r="C6" i="6" s="1"/>
  <c r="C5" i="6" a="1"/>
  <c r="C5" i="6" s="1"/>
  <c r="C4" i="6" a="1"/>
  <c r="C4" i="6" s="1"/>
  <c r="C3" i="6" a="1"/>
  <c r="C3" i="6" s="1"/>
  <c r="C3" i="5" a="1"/>
  <c r="C3" i="5" s="1"/>
  <c r="C6" i="5" a="1"/>
  <c r="C6" i="5" s="1"/>
  <c r="C5" i="5" a="1"/>
  <c r="C5" i="5"/>
  <c r="C4" i="5" a="1"/>
  <c r="C4" i="5"/>
  <c r="D54" i="3"/>
  <c r="B4" i="3"/>
  <c r="E5" i="3"/>
  <c r="E7" i="3"/>
  <c r="E6" i="3"/>
  <c r="E8" i="3"/>
  <c r="E9" i="3"/>
  <c r="E10" i="3"/>
  <c r="E11" i="3"/>
  <c r="E12" i="3"/>
  <c r="E13" i="3"/>
  <c r="E4" i="3"/>
  <c r="A1921" i="1"/>
  <c r="A2224" i="1"/>
  <c r="A2567" i="1"/>
  <c r="B6" i="3" l="1"/>
  <c r="B5"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<sst xmlns="http://schemas.openxmlformats.org/spreadsheetml/2006/main" count="3907" uniqueCount="1930">
  <si>
    <r>
      <t>Proposition de base de données des indicateurs</t>
    </r>
    <r>
      <rPr>
        <sz val="12"/>
        <color theme="1"/>
        <rFont val="Century Gothic"/>
        <family val="2"/>
      </rPr>
      <t xml:space="preserve"> pour la plateforme</t>
    </r>
  </si>
  <si>
    <r>
      <t>Baromètre Industrie et Commerce – Guinée (ONCP)</t>
    </r>
    <r>
      <rPr>
        <sz val="12"/>
        <color theme="1"/>
        <rFont val="Century Gothic"/>
        <family val="2"/>
      </rPr>
      <t>.</t>
    </r>
  </si>
  <si>
    <r>
      <t xml:space="preserve">Cette structure peut être utilisée dans </t>
    </r>
    <r>
      <rPr>
        <b/>
        <sz val="12"/>
        <color theme="1"/>
        <rFont val="Century Gothic"/>
        <family val="2"/>
      </rPr>
      <t>Excel, Access, MySQL, PostgreSQL, Power BI ou un site web</t>
    </r>
    <r>
      <rPr>
        <sz val="12"/>
        <color theme="1"/>
        <rFont val="Century Gothic"/>
        <family val="2"/>
      </rPr>
      <t>.</t>
    </r>
  </si>
  <si>
    <t>1. STRUCTURE GÉNÉRALE DE LA BASE DE DONNÉES</t>
  </si>
  <si>
    <r>
      <t xml:space="preserve">La base doit être organisée en </t>
    </r>
    <r>
      <rPr>
        <b/>
        <sz val="12"/>
        <color theme="1"/>
        <rFont val="Century Gothic"/>
        <family val="2"/>
      </rPr>
      <t>tables</t>
    </r>
    <r>
      <rPr>
        <sz val="12"/>
        <color theme="1"/>
        <rFont val="Century Gothic"/>
        <family val="2"/>
      </rPr>
      <t>.</t>
    </r>
  </si>
  <si>
    <t>Tables principales</t>
  </si>
  <si>
    <t>1. Indicateurs</t>
  </si>
  <si>
    <t>2. Secteurs</t>
  </si>
  <si>
    <t>3. Régions</t>
  </si>
  <si>
    <t>4. Périodes</t>
  </si>
  <si>
    <t>5. Valeurs_indicateurs</t>
  </si>
  <si>
    <t>6. Entreprises (si enquête)</t>
  </si>
  <si>
    <t>7. Contraintes</t>
  </si>
  <si>
    <t>8. Perspectives</t>
  </si>
  <si>
    <t>9. Publications</t>
  </si>
  <si>
    <t>2. TABLE : SECTEURS</t>
  </si>
  <si>
    <t>Table : secteurs</t>
  </si>
  <si>
    <t>id_secteur</t>
  </si>
  <si>
    <t>nom_secteur</t>
  </si>
  <si>
    <t>Industrie</t>
  </si>
  <si>
    <t>Commerce</t>
  </si>
  <si>
    <t>3. TABLE : REGIONS (Guinée)</t>
  </si>
  <si>
    <t>Table : regions</t>
  </si>
  <si>
    <t>id_region</t>
  </si>
  <si>
    <t>region</t>
  </si>
  <si>
    <t>Conakry</t>
  </si>
  <si>
    <t>Boké</t>
  </si>
  <si>
    <t>Kindia</t>
  </si>
  <si>
    <t>Mamou</t>
  </si>
  <si>
    <t>Labé</t>
  </si>
  <si>
    <t>Faranah</t>
  </si>
  <si>
    <t>Kankan</t>
  </si>
  <si>
    <t>Nzérékoré</t>
  </si>
  <si>
    <t>4. TABLE : PERIODES</t>
  </si>
  <si>
    <t>Table : periodes</t>
  </si>
  <si>
    <t>id_periode</t>
  </si>
  <si>
    <t>annee</t>
  </si>
  <si>
    <t>trimestre</t>
  </si>
  <si>
    <t>date_debut</t>
  </si>
  <si>
    <t>date_fin</t>
  </si>
  <si>
    <t>T1</t>
  </si>
  <si>
    <t>T2</t>
  </si>
  <si>
    <t>5. TABLE : INDICATEURS</t>
  </si>
  <si>
    <t>Table : indicateurs</t>
  </si>
  <si>
    <t>id_indicateur</t>
  </si>
  <si>
    <t>nom_indicateur</t>
  </si>
  <si>
    <t>secteur</t>
  </si>
  <si>
    <t>unite</t>
  </si>
  <si>
    <t>description</t>
  </si>
  <si>
    <t>Production industrielle</t>
  </si>
  <si>
    <t>Indice</t>
  </si>
  <si>
    <t>Niveau production</t>
  </si>
  <si>
    <t>Investissements</t>
  </si>
  <si>
    <t>GNF</t>
  </si>
  <si>
    <t>Investissements industriels</t>
  </si>
  <si>
    <t>Emploi industriel</t>
  </si>
  <si>
    <t>Nombre</t>
  </si>
  <si>
    <t>Emplois</t>
  </si>
  <si>
    <t>Exportations industrielles</t>
  </si>
  <si>
    <t>Export</t>
  </si>
  <si>
    <t>Ventes commerce</t>
  </si>
  <si>
    <t>Chiffre d’affaires</t>
  </si>
  <si>
    <t>Importations</t>
  </si>
  <si>
    <t>Import</t>
  </si>
  <si>
    <t>Prix produits</t>
  </si>
  <si>
    <t>Prix</t>
  </si>
  <si>
    <t>Stocks</t>
  </si>
  <si>
    <t>Accès financement</t>
  </si>
  <si>
    <t>Tous</t>
  </si>
  <si>
    <t>Score</t>
  </si>
  <si>
    <t>Accès crédit</t>
  </si>
  <si>
    <t>Fiscalité</t>
  </si>
  <si>
    <t>Pression fiscale</t>
  </si>
  <si>
    <t>6. TABLE PRINCIPALE : VALEURS DES INDICATEURS</t>
  </si>
  <si>
    <t>Table : valeurs_indicateurs</t>
  </si>
  <si>
    <t>C’est la table la plus importante.</t>
  </si>
  <si>
    <t>id</t>
  </si>
  <si>
    <t>valeur</t>
  </si>
  <si>
    <t>tendance</t>
  </si>
  <si>
    <t>commentaire</t>
  </si>
  <si>
    <t>Hausse</t>
  </si>
  <si>
    <t>Production en hausse</t>
  </si>
  <si>
    <t>Stable</t>
  </si>
  <si>
    <t>Ventes stables</t>
  </si>
  <si>
    <t>Tendance :</t>
  </si>
  <si>
    <t>Baisse</t>
  </si>
  <si>
    <t>7. TABLE : CONTRAINTES ENTREPRISES</t>
  </si>
  <si>
    <t>Table : contraintes</t>
  </si>
  <si>
    <t>id_contrainte</t>
  </si>
  <si>
    <t>nom_contrainte</t>
  </si>
  <si>
    <t>Électricité</t>
  </si>
  <si>
    <t>Transport</t>
  </si>
  <si>
    <t>Douanes</t>
  </si>
  <si>
    <t>Informel</t>
  </si>
  <si>
    <t>Infrastructures</t>
  </si>
  <si>
    <t>Corruption</t>
  </si>
  <si>
    <t>Table : contraintes_valeurs</t>
  </si>
  <si>
    <t>score</t>
  </si>
  <si>
    <t>2025T1</t>
  </si>
  <si>
    <t>Score :</t>
  </si>
  <si>
    <t>1 faible</t>
  </si>
  <si>
    <t>2 moyen</t>
  </si>
  <si>
    <t>3 élevé</t>
  </si>
  <si>
    <t>4 très élevé</t>
  </si>
  <si>
    <t>8. TABLE : PERSPECTIVES</t>
  </si>
  <si>
    <t>Table : perspectives</t>
  </si>
  <si>
    <t>periode</t>
  </si>
  <si>
    <t>optimiste</t>
  </si>
  <si>
    <t>stable</t>
  </si>
  <si>
    <t>pessimiste</t>
  </si>
  <si>
    <t>En pourcentage.</t>
  </si>
  <si>
    <t>9. LISTE COMPLÈTE DES INDICATEURS À INTÉGRER</t>
  </si>
  <si>
    <r>
      <t>🔷</t>
    </r>
    <r>
      <rPr>
        <b/>
        <sz val="12"/>
        <color theme="1"/>
        <rFont val="Century Gothic"/>
        <family val="2"/>
      </rPr>
      <t xml:space="preserve"> Industrie</t>
    </r>
  </si>
  <si>
    <t>1. Production industrielle</t>
  </si>
  <si>
    <t>2. Taux utilisation capacité</t>
  </si>
  <si>
    <t>3. Commandes</t>
  </si>
  <si>
    <t>4. Stocks produits finis</t>
  </si>
  <si>
    <t>5. Investissements</t>
  </si>
  <si>
    <t>6. Accès financement</t>
  </si>
  <si>
    <t>7. Trésorerie</t>
  </si>
  <si>
    <t>8. Emploi</t>
  </si>
  <si>
    <t>9. Salaires</t>
  </si>
  <si>
    <t>10. Exportations</t>
  </si>
  <si>
    <t>11. Import matières premières</t>
  </si>
  <si>
    <t>12. Coût énergie</t>
  </si>
  <si>
    <t>13. Coût transport</t>
  </si>
  <si>
    <t>14. Fiscalité</t>
  </si>
  <si>
    <t>15. Contraintes administratives</t>
  </si>
  <si>
    <t>16. Perspectives production</t>
  </si>
  <si>
    <t>17. Perspectives emploi</t>
  </si>
  <si>
    <t>18. Perspectives investissement</t>
  </si>
  <si>
    <r>
      <t>🔷</t>
    </r>
    <r>
      <rPr>
        <b/>
        <sz val="12"/>
        <color theme="1"/>
        <rFont val="Century Gothic"/>
        <family val="2"/>
      </rPr>
      <t xml:space="preserve"> Commerce</t>
    </r>
  </si>
  <si>
    <t>1. Chiffre d’affaires</t>
  </si>
  <si>
    <t>2. Volume des ventes</t>
  </si>
  <si>
    <t>3. Fréquentation clients</t>
  </si>
  <si>
    <t>4. Stocks</t>
  </si>
  <si>
    <t>5. Délais de paiement</t>
  </si>
  <si>
    <t>6. Importations</t>
  </si>
  <si>
    <t>7. Exportations</t>
  </si>
  <si>
    <t>8. Prix produits</t>
  </si>
  <si>
    <t>9. Inflation commerce</t>
  </si>
  <si>
    <t>10. Approvisionnement</t>
  </si>
  <si>
    <t>11. Coût transport</t>
  </si>
  <si>
    <t>12. Douanes</t>
  </si>
  <si>
    <t>13. Concurrence informelle</t>
  </si>
  <si>
    <t>15. Accès financement</t>
  </si>
  <si>
    <t>16. Perspectives ventes</t>
  </si>
  <si>
    <t>17. Perspectives importations</t>
  </si>
  <si>
    <t>18. Perspectives prix</t>
  </si>
  <si>
    <t>10. STRUCTURE SIMPLIFIÉE POUR EXCEL (RECOMMANDÉ)</t>
  </si>
  <si>
    <t>Si vous utilisez Excel, faites une feuille :</t>
  </si>
  <si>
    <t>Feuille : BASE_INDICATEURS</t>
  </si>
  <si>
    <t>Année</t>
  </si>
  <si>
    <t>Trimestre</t>
  </si>
  <si>
    <t>Région</t>
  </si>
  <si>
    <t>Secteur</t>
  </si>
  <si>
    <t>Indicateur</t>
  </si>
  <si>
    <t>Valeur</t>
  </si>
  <si>
    <t>Tendance</t>
  </si>
  <si>
    <t>Commentaire</t>
  </si>
  <si>
    <t>Production</t>
  </si>
  <si>
    <t>Bonne</t>
  </si>
  <si>
    <t>Ventes</t>
  </si>
  <si>
    <t>Marché stable</t>
  </si>
  <si>
    <t>C’est la structure la plus utilisée dans les baromètres économiques.</t>
  </si>
  <si>
    <t>11. INDICE GLOBAL DU BAROMÈTRE (IBIC)</t>
  </si>
  <si>
    <t>Créer une table :</t>
  </si>
  <si>
    <t>Table : indice baromètre</t>
  </si>
  <si>
    <t>Période</t>
  </si>
  <si>
    <t>IBIC</t>
  </si>
  <si>
    <t>Formule :</t>
  </si>
  <si>
    <t>IBIC = (Industrie + Commerce) / 2</t>
  </si>
  <si>
    <t>12. ARCHITECTURE GLOBALE DE LA BASE</t>
  </si>
  <si>
    <t>Schéma</t>
  </si>
  <si>
    <t>SECTEURS</t>
  </si>
  <si>
    <t>REGIONS</t>
  </si>
  <si>
    <t>PERIODES</t>
  </si>
  <si>
    <t>INDICATEURS</t>
  </si>
  <si>
    <t>VALEURS_INDICATEURS</t>
  </si>
  <si>
    <t>CONTRAINTES</t>
  </si>
  <si>
    <t>PERSPECTIVES</t>
  </si>
  <si>
    <t>INDICE_BAROMETRE</t>
  </si>
  <si>
    <t>PUBLICATIONS</t>
  </si>
  <si>
    <t>Conclusion</t>
  </si>
  <si>
    <t>Avec cette base de données, vous pouvez :</t>
  </si>
  <si>
    <t>Alimenter le dashboard</t>
  </si>
  <si>
    <t>Produire le rapport trimestriel</t>
  </si>
  <si>
    <t>Faire les graphiques</t>
  </si>
  <si>
    <t>Faire les analyses régionales</t>
  </si>
  <si>
    <t>Calculer l’indice du baromètre</t>
  </si>
  <si>
    <t>Publier les données sur la plateforme</t>
  </si>
  <si>
    <t>Si tu veux, prochaine étape je peux te proposer :</t>
  </si>
  <si>
    <t>le questionnaire d’enquête entreprises</t>
  </si>
  <si>
    <t>la méthodologie de calcul de l’indice du baromètre</t>
  </si>
  <si>
    <t>le système de notation des indicateurs</t>
  </si>
  <si>
    <t>Structure de la plateforme</t>
  </si>
  <si>
    <t>Baromètre Industrie et Commerce – Guinée</t>
  </si>
  <si>
    <t>Promu par l’Observatoire national de la compétitivité pays</t>
  </si>
  <si>
    <t>1. Page d’accueil</t>
  </si>
  <si>
    <t>Objectif</t>
  </si>
  <si>
    <t>Présenter rapidement la plateforme et les tendances économiques.</t>
  </si>
  <si>
    <t>Contenu</t>
  </si>
  <si>
    <t>Présentation du baromètre</t>
  </si>
  <si>
    <t>Tableau de bord synthétique</t>
  </si>
  <si>
    <t>Indicateurs clés (Industrie / Commerce)</t>
  </si>
  <si>
    <t>Graphiques d’évolution</t>
  </si>
  <si>
    <t>Dernières publications</t>
  </si>
  <si>
    <t>Actualités récentes</t>
  </si>
  <si>
    <t>Liens rapides vers les deux baromètres</t>
  </si>
  <si>
    <t>2. Onglet : A propos</t>
  </si>
  <si>
    <t>Sous-rubriques</t>
  </si>
  <si>
    <t>1. Présentation de la plateforme</t>
  </si>
  <si>
    <t>La compétitivité économique d’un pays repose sur la capacité de ses entreprises à produire, commercer, innover et s’adapter aux évolutions du contexte intérieur et extérieur. En Guinée, malgré des potentialités économiques importantes, les acteurs économiques rencontrent des défis persistants tels que les contraintes d’accès à l’énergie, la charge fiscale, les délais de paiement, les coûts logistiques ou encore l’accès limité au financement.</t>
  </si>
  <si>
    <t>Dans ce contexte, la disponibilité de données économiques fiables, régulières et comparables est une nécessité pour les décideurs publics, les opérateurs privés, les investisseurs et les partenaires techniques et financiers.</t>
  </si>
  <si>
    <t>La plateforme Baromètre Industrie et Commerce de Guinée a été conçue pour répondre à ce besoin stratégique d’information économique en temps réel.</t>
  </si>
  <si>
    <t>La plateforme Baromètre Industrie et Commerce de Guinée est un outil d’observation, de suivi et d’analyse des performances économiques du secteur industriel et du commerce national. Elle vise à :</t>
  </si>
  <si>
    <t>Fournir un indicateur de conjoncture trimestriel synthétique, fiable et actualisé.</t>
  </si>
  <si>
    <t>Permettre un suivi régulier des dynamiques de l’industrie et du commerce des entreprises guinéennes.</t>
  </si>
  <si>
    <t>Mettre à la disposition des acteurs économiques des données analytiques et visualisables pour faciliter la prise de décision.</t>
  </si>
  <si>
    <t>Servir d’outil de référence pour l’élaboration de politiques économiques, sectorielles et territoriales.</t>
  </si>
  <si>
    <t>Favoriser le dialogue public‑privé grâce à une information transparente et partagée.</t>
  </si>
  <si>
    <t>L’Observatoire National de la Compétitivité du Pays (ONCP) est une structure dédiée à la collecte, à l’analyse et à la diffusion de données économiques et sociales. Il a pour missions principales :</t>
  </si>
  <si>
    <t>Suivre la compétitivité du tissu productif national ;</t>
  </si>
  <si>
    <t>Analyser les facteurs influençant la performance des entreprises ;</t>
  </si>
  <si>
    <t>Produire des indicateurs économiques fiables et comparables ;</t>
  </si>
  <si>
    <t>Appuyer les politiques publiques à partir de données probantes.</t>
  </si>
  <si>
    <t>L’ONCP regroupe des experts en statistique, économie, industries, commerce et technologies de l’information.</t>
  </si>
  <si>
    <t>La plateforme Baromètre Industrie et Commerce de Guinée est une infrastructure de connaissance pivot pour soutenir le développement économique du pays. Elle offre une vision régulière, accessible et factuelle de l’évolution de l’industrie et du commerce.</t>
  </si>
  <si>
    <t>Fruit d’un travail méthodologique solide, elle renforce la transparence des données économiques et constitue un outil d’analyse essentiel pour les secteurs public et privé.</t>
  </si>
  <si>
    <t>2. Mission du baromètre</t>
  </si>
  <si>
    <t>Le Baromètre Industrie et Commerce de Guinée est un outil institutionnel conçu pour mesurer, suivre et analyser la performance des secteurs industriels et commerciaux du pays. Sa mission principale est de fournir des données fiables et régulières permettant d’orienter les politiques publiques, renforcer la compétitivité nationale et améliorer l’inclusion économique.</t>
  </si>
  <si>
    <t>Missions principales du Baromètre</t>
  </si>
  <si>
    <t>Suivi des indicateurs clés (KPIs) : Mesurer la croissance industrielle, l’évolution du commerce intérieur et extérieur, et la dynamique des PME.</t>
  </si>
  <si>
    <t>Appui à la prise de décision : Offrir aux ministères, partenaires techniques et bailleurs des données consolidées pour orienter les politiques sectorielles.</t>
  </si>
  <si>
    <t>Transparence et gouvernance : Favoriser une meilleure visibilité sur les performances économiques et renforcer la confiance des acteurs privés et institutionnels.</t>
  </si>
  <si>
    <t>Promotion de l’inclusion : Intégrer des indicateurs liés à l’emploi des jeunes, à l’égalité de genre et à la durabilité environnementale.</t>
  </si>
  <si>
    <t>Alignement international : Harmoniser les mesures avec les standards de l’ONU (ODD) et de l’UNIDO pour crédibiliser les rapports à l’échelle internationale.</t>
  </si>
  <si>
    <t>3. Objectifs</t>
  </si>
  <si>
    <t>Suivre la performance industrielle : mesurer régulièrement la production, l’emploi, les investissements et les contraintes du secteur industriel.</t>
  </si>
  <si>
    <t>Suivre la performance commerciale : analyser les flux d’importations et d’exportations, la dynamique du marché intérieur et la compétitivité des entreprises.</t>
  </si>
  <si>
    <t>Mesurer la compétitivité : évaluer la position de la Guinée par rapport aux standards régionaux et internationaux, en identifiant les forces et faiblesses.</t>
  </si>
  <si>
    <t>Aider à la prise de décision : fournir aux autorités publiques et aux partenaires des données fiables pour orienter les politiques et les réformes.</t>
  </si>
  <si>
    <t>Informer les investisseurs : mettre à disposition des informations actualisées sur les opportunités et les tendances du marché.</t>
  </si>
  <si>
    <t>Informer le secteur privé : offrir aux entreprises un outil de suivi pour anticiper les évolutions et adapter leurs stratégies.</t>
  </si>
  <si>
    <t>Le Baromètre est un instrument stratégique de suivi et de pilotage, conçu pour transformer les données économiques en décisions concrètes, tout en renforçant la transparence et la compétitivité du pays.</t>
  </si>
  <si>
    <t>4. Méthodologie de collecte des données</t>
  </si>
  <si>
    <t xml:space="preserve">La méthodologie de collecte de données du Baromètre Industrie et Commerce de Guinée repose sur des enquêtes systématiques auprès des entreprises industrielles et commerciales, combinées à des sources administratives et statistiques nationales. Elle s’appuie notamment sur le Recensement Général de l’Industrie (RGI) et sur des relevés périodiques pour assurer la fiabilité et la régularité des indicateurs. </t>
  </si>
  <si>
    <t>Étapes clés de la méthodologie</t>
  </si>
  <si>
    <t>1. Recensement Général de l’Industrie (RGI)</t>
  </si>
  <si>
    <t>Base principale : Le RGI constitue la première source de données, en recensant toutes les unités industrielles formelles et informelles.</t>
  </si>
  <si>
    <t>Variables collectées : Nombre d’entreprises, effectifs employés, chiffre d’affaires, investissements, production, exportations, contraintes rencontrées.</t>
  </si>
  <si>
    <t>Couverture nationale : Le recensement est mené dans toutes les régions pour refléter la diversité territoriale.</t>
  </si>
  <si>
    <t>2. Enquêtes sectorielles périodiques</t>
  </si>
  <si>
    <t>Questionnaires standardisés : Collecte trimestrielle ou semestrielle auprès des entreprises industrielles et commerciales.</t>
  </si>
  <si>
    <t>Indicateurs suivis : Évolution des prix, volumes de production, importations/exportations, emploi, innovation et inclusion (genre, jeunes).</t>
  </si>
  <si>
    <t>Approche mixte : Entretiens directs, formulaires électroniques et remontées via les chambres de commerce et associations professionnelles.</t>
  </si>
  <si>
    <t>3. Sources administratives et statistiques</t>
  </si>
  <si>
    <t>Données fiscales et douanières : Importations, exportations, recettes fiscales liées au commerce et à l’industrie.</t>
  </si>
  <si>
    <t>Institutions nationales : Collaboration avec l’Institut National de la Statistique (INS), la Banque Centrale et les ministères sectoriels.</t>
  </si>
  <si>
    <t>Partenaires techniques : Intégration des données issues de projets soutenus par l’ONU, l’UNIDO et les bailleurs.</t>
  </si>
  <si>
    <t>4. Validation et harmonisation</t>
  </si>
  <si>
    <t>Contrôle qualité : Vérification de la cohérence des données entre sources administratives et enquêtes.</t>
  </si>
  <si>
    <t>Alignement international : Harmonisation avec les standards des Objectifs de Développement Durable (ODD) et les méthodologies de l’UNIDO.</t>
  </si>
  <si>
    <t>Tableaux de bord dynamiques : Intégration des données dans des plateformes comme Power BI pour automatiser les indicateurs.</t>
  </si>
  <si>
    <t>Principes méthodologiques</t>
  </si>
  <si>
    <t>Exhaustivité : Couvrir l’ensemble des acteurs industriels et commerciaux, y compris les PME et l’informel.</t>
  </si>
  <si>
    <t>Régularité : Assurer une collecte périodique pour suivre les tendances.</t>
  </si>
  <si>
    <t>Fiabilité : Croiser les données d’enquêtes avec les sources administratives.</t>
  </si>
  <si>
    <t>Inclusivité : Intégrer des variables sur l’emploi des jeunes, la participation des femmes et la durabilité environnementale.</t>
  </si>
  <si>
    <t>Accessibilité : Produire des rapports synthétiques et visuels pour les décideurs et partenaires.</t>
  </si>
  <si>
    <t>5. Sources des données</t>
  </si>
  <si>
    <t xml:space="preserve">Le Baromètre Industrie et Commerce de Guinée s’appuie sur plusieurs sources de données complémentaires afin de garantir la fiabilité et la représentativité de ses indicateurs. </t>
  </si>
  <si>
    <t>Base de référence pour identifier et caractériser les entreprises industrielles.</t>
  </si>
  <si>
    <t>Données sur la production, l’emploi, les investissements et les contraintes sectorielles.</t>
  </si>
  <si>
    <t>2. Enquêtes directes auprès des entreprises</t>
  </si>
  <si>
    <t>Questionnaires périodiques (trimestriels ou semestriels).</t>
  </si>
  <si>
    <t>Informations sur la performance, les prix, l’innovation, l’emploi des jeunes et des femmes.</t>
  </si>
  <si>
    <t>3. Sources administratives nationales</t>
  </si>
  <si>
    <t>Douanes : flux d’importations et d’exportations.</t>
  </si>
  <si>
    <t>Direction des impôts et Trésor : données fiscales et recettes liées au commerce et à l’industrie.</t>
  </si>
  <si>
    <t>Banque Centrale : statistiques monétaires et financières.</t>
  </si>
  <si>
    <t>4. Institutions statistiques</t>
  </si>
  <si>
    <t>Institut National de la Statistique (INS) : données macroéconomiques et sectorielles.</t>
  </si>
  <si>
    <t>Ministères sectoriels (Industrie, Commerce, PME, Plan, etc.) : rapports et bases internes.</t>
  </si>
  <si>
    <t>5. Partenaires techniques et bailleurs</t>
  </si>
  <si>
    <t>ONU, UNIDO, Banque Mondiale, BAD, UE : études, diagnostics et bases de données internationales.</t>
  </si>
  <si>
    <t>Projets spécifiques financés par les bailleurs, intégrant des indicateurs sur inclusion et durabilité.</t>
  </si>
  <si>
    <t>6. Chambres de commerce et organisations professionnelles</t>
  </si>
  <si>
    <t>Données remontées par les fédérations, associations d’entreprises et groupements industriels.</t>
  </si>
  <si>
    <t>Informations qualitatives sur les contraintes et opportunités.</t>
  </si>
  <si>
    <t>Principes de collecte</t>
  </si>
  <si>
    <t>Triangulation : croiser les données des enquêtes, des administrations et des partenaires.</t>
  </si>
  <si>
    <t>Régularité : mise à jour périodique pour suivre les tendances.</t>
  </si>
  <si>
    <t>Inclusivité : intégration de variables sur genre, jeunesse et durabilité.</t>
  </si>
  <si>
    <t>Fiabilité : validation et harmonisation avec les standards internationaux (ODD, UNIDO).</t>
  </si>
  <si>
    <t xml:space="preserve">6. Périodicité du baromètre </t>
  </si>
  <si>
    <t xml:space="preserve">Le Baromètre Industrie et Commerce de Guinée est conçu pour être publié de manière trimestrielle, afin de suivre régulièrement l’évolution des secteurs industriels et commerciaux et fournir aux décideurs des indicateurs actualisés. </t>
  </si>
  <si>
    <t>Cette périodicité permet de détecter rapidement les tendances et d’ajuster les politiques publiques.</t>
  </si>
  <si>
    <t>Périodicité et justification</t>
  </si>
  <si>
    <t>Trimestriel (chaque 3 mois) :</t>
  </si>
  <si>
    <t>Permet un suivi rapproché des dynamiques industrielles et commerciales.</t>
  </si>
  <si>
    <t>Offre une réactivité face aux fluctuations des marchés, aux contraintes des entreprises et aux opportunités sectorielles.</t>
  </si>
  <si>
    <t>Aligne la Guinée sur les standards internationaux (UNIDO, ODD) où les baromètres économiques sont souvent trimestriels.</t>
  </si>
  <si>
    <t>Rapports annuels consolidés :</t>
  </si>
  <si>
    <t>En plus des bulletins trimestriels, une synthèse annuelle est produite pour dresser un bilan global.</t>
  </si>
  <si>
    <t>Ce rapport intègre les tendances structurelles et les recommandations stratégiques.</t>
  </si>
  <si>
    <t>Avantages d’une périodicité trimestrielle</t>
  </si>
  <si>
    <t>Actualité des données : Les décideurs disposent d’informations fraîches pour ajuster les politiques industrielles et commerciales.</t>
  </si>
  <si>
    <t>Dialogue public-privé : Les entreprises et les investisseurs peuvent anticiper les évolutions du marché.</t>
  </si>
  <si>
    <t>Suivi inclusif : Intégration régulière des indicateurs sur l’emploi des jeunes, la participation des femmes et la durabilité.</t>
  </si>
  <si>
    <t>Comparabilité internationale : Cohérence avec les baromètres économiques utilisés par d’autres pays et institutions.</t>
  </si>
  <si>
    <t>7. Partenaires techniques et financiers</t>
  </si>
  <si>
    <t>Les partenaires potentiels du Baromètre Industrie et Commerce de Guinée et de l’Observatoire sont multiples : institutions nationales, acteurs privés, partenaires techniques internationaux et organisations régionales. Leur rôle est de garantir la fiabilité des données, de renforcer la gouvernance et de soutenir la compétitivité.</t>
  </si>
  <si>
    <t>Institutions nationales</t>
  </si>
  <si>
    <t>Ministère de l’Industrie et du Commerce, (MIC) : pilote institutionnel du baromètre.</t>
  </si>
  <si>
    <t>Institut National de la Statistique (INS) : collecte et harmonisation des données macroéconomiques.</t>
  </si>
  <si>
    <t>Banque Centrale de la République de Guinée (BCRG) : statistiques financières et monétaires.</t>
  </si>
  <si>
    <t>Direction Générale des Douanes et des Impôts : données sur le commerce extérieur et la fiscalité.</t>
  </si>
  <si>
    <t xml:space="preserve">Aguipex (Agence Guinéenne de Promotion des Exportations) : suivi des exportations et intégration dans les chaînes de valeur </t>
  </si>
  <si>
    <t>Partenaires techniques et bailleurs</t>
  </si>
  <si>
    <t>UNIDO (Organisation des Nations Unies pour le Développement Industriel) : appui méthodologique et alignement avec les standards internationaux.</t>
  </si>
  <si>
    <t>Banque Mondiale, BAD, Union Européenne : financement et expertise technique pour la compétitivité et l’inclusion.</t>
  </si>
  <si>
    <t>PNUD et autres agences onusiennes : intégration des indicateurs liés aux ODD (emploi, genre, durabilité).</t>
  </si>
  <si>
    <t>Coopérations bilatérales (France, Allemagne, Chine, Turquie) : soutien technique et investissements industriels.</t>
  </si>
  <si>
    <t>Acteurs privés et société civile</t>
  </si>
  <si>
    <t>Chambres de commerce et d’industrie : relais auprès des entreprises et remontée des contraintes.</t>
  </si>
  <si>
    <t>Associations professionnelles et patronales : participation au dialogue public-privé.</t>
  </si>
  <si>
    <t>Grandes entreprises industrielles et commerciales : fourniture de données et partage d’expériences.</t>
  </si>
  <si>
    <t>PME et startups : intégration dans les enquêtes pour refléter la diversité du tissu économique.</t>
  </si>
  <si>
    <t>Organisations régionales</t>
  </si>
  <si>
    <t>Observatoire de la Compétitivité de l’Afrique de l’Ouest (OCAO) : cadre régional de suivi de la compétitivité ;</t>
  </si>
  <si>
    <t>Observatoire de l’Innovation de la Tunisie ;</t>
  </si>
  <si>
    <t>CEDEAO et UEMOA : harmonisation des indicateurs commerciaux et industriels.</t>
  </si>
  <si>
    <t>Instituts régionaux de recherche et think tanks : analyses comparatives et diffusion des résultats.</t>
  </si>
  <si>
    <t>8. Présentation de l’ONCP</t>
  </si>
  <si>
    <t>L’Observatoire National de la Compétitivité est une plateforme institutionnelle de suivi, d’analyse et de pilotage des performances économiques de la Guinée. Il a pour vocation de mesurer la compétitivité du pays à travers des indicateurs fiables, comparables et alignés sur les standards internationaux, afin d’orienter les politiques publiques et renforcer l’attractivité nationale.</t>
  </si>
  <si>
    <t>Missions principales</t>
  </si>
  <si>
    <t>Collecter et harmoniser les données sur l’industrie, le commerce, l’investissement et l’emploi.</t>
  </si>
  <si>
    <t>Évaluer la compétitivité nationale et sectorielle, en identifiant les forces et faiblesses.</t>
  </si>
  <si>
    <t>Produire des rapports réguliers pour les décideurs publics, les bailleurs et les investisseurs.</t>
  </si>
  <si>
    <t>Faciliter le dialogue public-privé, en mettant à disposition des informations transparentes et accessibles.</t>
  </si>
  <si>
    <t>Aligner la Guinée aux standards internationaux (ODD, UNIDO, CEDEAO), pour renforcer sa crédibilité et son intégration régionale.</t>
  </si>
  <si>
    <t>Objectifs stratégiques</t>
  </si>
  <si>
    <t>Améliorer la gouvernance économique par un suivi régulier des indicateurs.</t>
  </si>
  <si>
    <t>Accroître la compétitivité et l’attractivité du pays auprès des investisseurs.</t>
  </si>
  <si>
    <t>Promouvoir l’inclusion (emploi des jeunes, participation des femmes, durabilité environnementale).</t>
  </si>
  <si>
    <t>Renforcer la transparence et la confiance entre l’État, le secteur privé et les partenaires techniques.</t>
  </si>
  <si>
    <t>9. Contacts</t>
  </si>
  <si>
    <t>3. Onglet : Baromètre</t>
  </si>
  <si>
    <t>3.1 Industrie (Indicateurs clés)</t>
  </si>
  <si>
    <t>Tableau de bord Industrie</t>
  </si>
  <si>
    <t>Indicateurs possibles :</t>
  </si>
  <si>
    <t>Chiffre d’affaires industriel</t>
  </si>
  <si>
    <t>Nombre d’entreprises industrielles</t>
  </si>
  <si>
    <t>Emplois industriels</t>
  </si>
  <si>
    <t>Taux d’utilisation des capacités</t>
  </si>
  <si>
    <t>Importations de matières premières</t>
  </si>
  <si>
    <t>Coût de l’énergie</t>
  </si>
  <si>
    <t>Accès au financement</t>
  </si>
  <si>
    <t>Climat des affaires industriel</t>
  </si>
  <si>
    <t>Perspectives de production</t>
  </si>
  <si>
    <t>Contraintes des entreprises</t>
  </si>
  <si>
    <t>Rubriques</t>
  </si>
  <si>
    <t>1. Tableau de bord</t>
  </si>
  <si>
    <t>2. Indicateurs clés</t>
  </si>
  <si>
    <t>3. Analyses sectorielles</t>
  </si>
  <si>
    <t>4. Évolution trimestrielle</t>
  </si>
  <si>
    <t>5. Graphiques</t>
  </si>
  <si>
    <t>6. Téléchargement des données</t>
  </si>
  <si>
    <t>7. Rapports industrie</t>
  </si>
  <si>
    <t>3.2 Commerce (Indicateurs clés)</t>
  </si>
  <si>
    <t>Tableau de bord Commerce</t>
  </si>
  <si>
    <t>Volume des importations</t>
  </si>
  <si>
    <t>Volume des exportations</t>
  </si>
  <si>
    <t>Balance commerciale</t>
  </si>
  <si>
    <t>Chiffre d’affaires commerce</t>
  </si>
  <si>
    <t>Prix des produits</t>
  </si>
  <si>
    <t>Délais de paiement</t>
  </si>
  <si>
    <t>Fréquentation des marchés</t>
  </si>
  <si>
    <t>Commerce de gros</t>
  </si>
  <si>
    <t>Commerce de détail</t>
  </si>
  <si>
    <t>Commerce extérieur</t>
  </si>
  <si>
    <t>E-commerce</t>
  </si>
  <si>
    <t>Climat des affaires commerce</t>
  </si>
  <si>
    <t>Perspectives commerciales</t>
  </si>
  <si>
    <t>3. Commerce intérieur</t>
  </si>
  <si>
    <t>4. Commerce extérieur</t>
  </si>
  <si>
    <t>5. Évolution trimestrielle</t>
  </si>
  <si>
    <t>6. Graphiques</t>
  </si>
  <si>
    <t>7. Téléchargement des données</t>
  </si>
  <si>
    <t>8. Rapports commerce</t>
  </si>
  <si>
    <t>4. Onglet : Publications</t>
  </si>
  <si>
    <t>Rapports du baromètre Industrie</t>
  </si>
  <si>
    <t>Rapports du baromètre Commerce</t>
  </si>
  <si>
    <t>Notes de conjoncture</t>
  </si>
  <si>
    <t>Études sectorielles</t>
  </si>
  <si>
    <t>Rapports annuels</t>
  </si>
  <si>
    <t>Bulletins statistiques</t>
  </si>
  <si>
    <t>Documents méthodologiques</t>
  </si>
  <si>
    <t>Bases de données téléchargeables</t>
  </si>
  <si>
    <t>Classement</t>
  </si>
  <si>
    <t>Par année</t>
  </si>
  <si>
    <t>Par secteur</t>
  </si>
  <si>
    <t>Par type de publication</t>
  </si>
  <si>
    <t>5. Onglet : Actualités</t>
  </si>
  <si>
    <t>Lancement du baromètre</t>
  </si>
  <si>
    <t>Ateliers et conférences</t>
  </si>
  <si>
    <t>Notes d’information économique</t>
  </si>
  <si>
    <t>Nouvelles statistiques</t>
  </si>
  <si>
    <t>Activités de l’ONCP</t>
  </si>
  <si>
    <t>Réformes industrie et commerce</t>
  </si>
  <si>
    <t>Projets économiques</t>
  </si>
  <si>
    <t>6. Onglets supplémentaires recommandés (très important)</t>
  </si>
  <si>
    <t>Pour une plateforme complète, il est conseillé d’ajouter :</t>
  </si>
  <si>
    <t>Données statistiques</t>
  </si>
  <si>
    <t>Base de données</t>
  </si>
  <si>
    <t>Téléchargement Excel</t>
  </si>
  <si>
    <t>Séries temporelles</t>
  </si>
  <si>
    <t>Indicateurs régionaux</t>
  </si>
  <si>
    <t>Cartes interactives</t>
  </si>
  <si>
    <t>Tableau de bord interactif</t>
  </si>
  <si>
    <t>Graphiques dynamiques</t>
  </si>
  <si>
    <t>Comparaisons par année</t>
  </si>
  <si>
    <t>Comparaisons par région</t>
  </si>
  <si>
    <t>Comparaisons par secteur</t>
  </si>
  <si>
    <t>Partenaires</t>
  </si>
  <si>
    <t>Ministère Industrie</t>
  </si>
  <si>
    <t>Ministère Commerce</t>
  </si>
  <si>
    <t>Institut Statistique</t>
  </si>
  <si>
    <t>Banque Centrale</t>
  </si>
  <si>
    <t>Chambre de Commerce</t>
  </si>
  <si>
    <t>Organisations patronales</t>
  </si>
  <si>
    <t>Structure finale du menu (navigation)</t>
  </si>
  <si>
    <t>Menu principal de la plateforme</t>
  </si>
  <si>
    <t>1. Accueil</t>
  </si>
  <si>
    <t>2. A propos</t>
  </si>
  <si>
    <t>3. Baromètre</t>
  </si>
  <si>
    <t>4. Données statistiques</t>
  </si>
  <si>
    <t>5. Publications</t>
  </si>
  <si>
    <t>6. Actualités</t>
  </si>
  <si>
    <t>7. Partenaires</t>
  </si>
  <si>
    <t>8. Contact</t>
  </si>
  <si>
    <t>Structure technique de la plateforme (important)</t>
  </si>
  <si>
    <t>Modules de la plateforme</t>
  </si>
  <si>
    <t>1. Base de données des indicateurs</t>
  </si>
  <si>
    <t>2. Module graphiques</t>
  </si>
  <si>
    <t>3. Module publications PDF</t>
  </si>
  <si>
    <t>4. Module actualités</t>
  </si>
  <si>
    <t>5. Tableau de bord interactif</t>
  </si>
  <si>
    <t>6. Espace téléchargement</t>
  </si>
  <si>
    <t>7. Administration (back office)</t>
  </si>
  <si>
    <t>8. Gestion des utilisateurs</t>
  </si>
  <si>
    <t>9. Mise à jour des indicateurs</t>
  </si>
  <si>
    <t>10. Génération automatique des rapports</t>
  </si>
  <si>
    <t>Exemple d’indicateurs globaux du baromètre</t>
  </si>
  <si>
    <t>Indicateur synthétique du climat des affaires</t>
  </si>
  <si>
    <t>Emploi</t>
  </si>
  <si>
    <t>Exportations</t>
  </si>
  <si>
    <t>Trésorerie</t>
  </si>
  <si>
    <t>Commandes</t>
  </si>
  <si>
    <t>Perspectives</t>
  </si>
  <si>
    <t>Résumé de la structure</t>
  </si>
  <si>
    <t>Structure simple</t>
  </si>
  <si>
    <t>Accueil</t>
  </si>
  <si>
    <t>A propos</t>
  </si>
  <si>
    <t>Baromètre Industrie</t>
  </si>
  <si>
    <t>Baromètre Commerce</t>
  </si>
  <si>
    <t>Publications</t>
  </si>
  <si>
    <t>Actualités</t>
  </si>
  <si>
    <t>Contact</t>
  </si>
  <si>
    <t>Structure complète (recommandée)</t>
  </si>
  <si>
    <t>Baromètre</t>
  </si>
  <si>
    <t>Tableau de bord</t>
  </si>
  <si>
    <t>Administration</t>
  </si>
  <si>
    <t>Arborescence complète du site (architecture web détaillée) et les indicateurs à intégrer pour le BIC-GN</t>
  </si>
  <si>
    <t>1. Arborescence complète du site (architecture web)</t>
  </si>
  <si>
    <t>Plateforme : Baromètre Industrie et Commerce – Guinée</t>
  </si>
  <si>
    <t>Promu par l’Observatoire National de la Compétitivité Pays (ONCP)</t>
  </si>
  <si>
    <t>Menu principal</t>
  </si>
  <si>
    <t>2. Arborescence détaillée par onglet</t>
  </si>
  <si>
    <t>ACCUEIL</t>
  </si>
  <si>
    <t>Présentation du Baromètre</t>
  </si>
  <si>
    <t>Indicateurs clés</t>
  </si>
  <si>
    <t>Graphiques</t>
  </si>
  <si>
    <t>Accès rapide :</t>
  </si>
  <si>
    <t>Données</t>
  </si>
  <si>
    <t>Contact rapide</t>
  </si>
  <si>
    <t>A PROPOS</t>
  </si>
  <si>
    <t>Sous-menus</t>
  </si>
  <si>
    <t>1. Présentation du Baromètre</t>
  </si>
  <si>
    <t>2. Objectifs</t>
  </si>
  <si>
    <t>3. Méthodologie</t>
  </si>
  <si>
    <t>4. Sources des données</t>
  </si>
  <si>
    <t>5. Périodicité</t>
  </si>
  <si>
    <t>6. Partenaires</t>
  </si>
  <si>
    <t>7. Équipe</t>
  </si>
  <si>
    <t>8. ONCP</t>
  </si>
  <si>
    <t>9. Contact</t>
  </si>
  <si>
    <t>BAROMÈTRE</t>
  </si>
  <si>
    <t>1. Industrie</t>
  </si>
  <si>
    <t>1. Tableau de bord Industrie</t>
  </si>
  <si>
    <t>3. Production industrielle</t>
  </si>
  <si>
    <t>4. Investissements industriels</t>
  </si>
  <si>
    <t>5. Emploi industriel</t>
  </si>
  <si>
    <t>6. Exportations industrielles</t>
  </si>
  <si>
    <t>7. Contraintes des entreprises</t>
  </si>
  <si>
    <t>8. Perspectives industrielles</t>
  </si>
  <si>
    <t>9. Analyses sectorielles</t>
  </si>
  <si>
    <t>10. Rapports Industrie</t>
  </si>
  <si>
    <t>11. Téléchargement données Industrie</t>
  </si>
  <si>
    <t>2. Commerce</t>
  </si>
  <si>
    <t>1. Tableau de bord Commerce</t>
  </si>
  <si>
    <t>5. Prix et inflation commerciale</t>
  </si>
  <si>
    <t>6. Stocks et approvisionnement</t>
  </si>
  <si>
    <t>7. Contraintes commerciales</t>
  </si>
  <si>
    <t>8. Perspectives commerciales</t>
  </si>
  <si>
    <t>9. Rapports Commerce</t>
  </si>
  <si>
    <t>10. Téléchargement données Commerce</t>
  </si>
  <si>
    <t>DONNÉES STATISTIQUES</t>
  </si>
  <si>
    <t>1. Base de données</t>
  </si>
  <si>
    <t>2. Indicateurs Industrie</t>
  </si>
  <si>
    <t>3. Indicateurs Commerce</t>
  </si>
  <si>
    <t>4. Séries temporelles</t>
  </si>
  <si>
    <t>5. Données régionales</t>
  </si>
  <si>
    <t>6. Données sectorielles</t>
  </si>
  <si>
    <t>7. Téléchargement Excel</t>
  </si>
  <si>
    <t>8. Cartographie économique</t>
  </si>
  <si>
    <t>1. Rapports Baromètre Industrie</t>
  </si>
  <si>
    <t>2. Rapports Baromètre Commerce</t>
  </si>
  <si>
    <t>3. Notes de conjoncture</t>
  </si>
  <si>
    <t>4. Études sectorielles</t>
  </si>
  <si>
    <t>5. Rapports annuels</t>
  </si>
  <si>
    <t>6. Bulletins statistiques</t>
  </si>
  <si>
    <t>7. Documents méthodologiques</t>
  </si>
  <si>
    <t>8. Newsletter</t>
  </si>
  <si>
    <t>ACTUALITÉS</t>
  </si>
  <si>
    <t>1. Actualités économiques</t>
  </si>
  <si>
    <t>2. Activités ONCP</t>
  </si>
  <si>
    <t>3. Réformes industrie</t>
  </si>
  <si>
    <t>4. Réformes commerce</t>
  </si>
  <si>
    <t>6. Événements</t>
  </si>
  <si>
    <t>7. Communiqués</t>
  </si>
  <si>
    <t>8. Agenda</t>
  </si>
  <si>
    <t>PARTENAIRES</t>
  </si>
  <si>
    <t>Ministère de l’Industrie</t>
  </si>
  <si>
    <t>Ministère du Commerce</t>
  </si>
  <si>
    <t>Institut National de la Statistique</t>
  </si>
  <si>
    <t>Patronat</t>
  </si>
  <si>
    <t>Organisations professionnelles</t>
  </si>
  <si>
    <t>Partenaires techniques et financiers</t>
  </si>
  <si>
    <t>CONTACT</t>
  </si>
  <si>
    <t>Formulaire de contact</t>
  </si>
  <si>
    <t>Adresse</t>
  </si>
  <si>
    <t>Téléphone</t>
  </si>
  <si>
    <t>Email</t>
  </si>
  <si>
    <t>Localisation carte</t>
  </si>
  <si>
    <t>FAQ</t>
  </si>
  <si>
    <t>3. Indicateurs exacts à intégrer (TRÈS IMPORTANT)</t>
  </si>
  <si>
    <t>Voici les indicateurs recommandés pour la Guinée.</t>
  </si>
  <si>
    <t>INDICATEURS BAROMÈTRE INDUSTRIE</t>
  </si>
  <si>
    <t>Indice de production industrielle</t>
  </si>
  <si>
    <t>Volume de production</t>
  </si>
  <si>
    <t>Commandes reçues</t>
  </si>
  <si>
    <t>Stocks de produits finis</t>
  </si>
  <si>
    <t>Finances et investissements</t>
  </si>
  <si>
    <t>Taux d’intérêt crédit entreprises</t>
  </si>
  <si>
    <t>Trésorerie des entreprises</t>
  </si>
  <si>
    <t>Nombre d’emplois industriels</t>
  </si>
  <si>
    <t>Salaires</t>
  </si>
  <si>
    <t>Heures travaillées</t>
  </si>
  <si>
    <t>Recrutements</t>
  </si>
  <si>
    <t>Licenciements</t>
  </si>
  <si>
    <t>Commerce extérieur industriel</t>
  </si>
  <si>
    <t>Importations matières premières</t>
  </si>
  <si>
    <t>Coût transport</t>
  </si>
  <si>
    <t>Délais d’importation</t>
  </si>
  <si>
    <t>Coûts de production</t>
  </si>
  <si>
    <t>Coût énergie</t>
  </si>
  <si>
    <t>Coût matières premières</t>
  </si>
  <si>
    <t>Coût main d’œuvre</t>
  </si>
  <si>
    <t>Climat des affaires</t>
  </si>
  <si>
    <t>Contraintes administratives</t>
  </si>
  <si>
    <t>Accès à l’électricité</t>
  </si>
  <si>
    <t>Sécurité</t>
  </si>
  <si>
    <t>Perspectives d’investissement</t>
  </si>
  <si>
    <t>Perspectives d’emploi</t>
  </si>
  <si>
    <t>Perspectives d’exportation</t>
  </si>
  <si>
    <t>INDICATEURS BAROMÈTRE COMMERCE</t>
  </si>
  <si>
    <t>Commerce intérieur</t>
  </si>
  <si>
    <t>Volume des ventes</t>
  </si>
  <si>
    <t>Fréquentation clients</t>
  </si>
  <si>
    <t>Prix de vente</t>
  </si>
  <si>
    <t>Approvisionnement</t>
  </si>
  <si>
    <t>Coût douane</t>
  </si>
  <si>
    <t>Délai de dédouanement</t>
  </si>
  <si>
    <t>Coût logistique</t>
  </si>
  <si>
    <t>Taux de change</t>
  </si>
  <si>
    <t>Volume des conteneurs</t>
  </si>
  <si>
    <t>Produits importés principaux</t>
  </si>
  <si>
    <t>Produits exportés principaux</t>
  </si>
  <si>
    <t>Prix et inflation</t>
  </si>
  <si>
    <t>Indice des prix commerce</t>
  </si>
  <si>
    <t>Prix produits alimentaires</t>
  </si>
  <si>
    <t>Prix produits importés</t>
  </si>
  <si>
    <t>Inflation commerciale</t>
  </si>
  <si>
    <t>Concurrence</t>
  </si>
  <si>
    <t>Fraude</t>
  </si>
  <si>
    <t>Perspectives de ventes</t>
  </si>
  <si>
    <t>Perspectives de prix</t>
  </si>
  <si>
    <t>Perspectives d’importation</t>
  </si>
  <si>
    <t>4. Indicateur synthétique du Baromètre (recommandé)</t>
  </si>
  <si>
    <t>Créer un Indice du Baromètre Industrie et Commerce (IBIC) basé sur :</t>
  </si>
  <si>
    <t>Investissement</t>
  </si>
  <si>
    <t>Cet indice donne :</t>
  </si>
  <si>
    <t>Situation bonne</t>
  </si>
  <si>
    <t>Situation stable</t>
  </si>
  <si>
    <t>Situation mauvaise</t>
  </si>
  <si>
    <t>5. Architecture technique de la plateforme</t>
  </si>
  <si>
    <t>Modules techniques</t>
  </si>
  <si>
    <t>1. Base de données indicateurs</t>
  </si>
  <si>
    <t>2. Tableau de bord interactif</t>
  </si>
  <si>
    <t>3. Graphiques automatiques</t>
  </si>
  <si>
    <t>4. Téléchargement Excel/PDF</t>
  </si>
  <si>
    <t>5. Gestion publications</t>
  </si>
  <si>
    <t>6. Gestion actualités</t>
  </si>
  <si>
    <t>7. Administration</t>
  </si>
  <si>
    <t>8. Gestion utilisateurs</t>
  </si>
  <si>
    <t>9. Enquête en ligne entreprises</t>
  </si>
  <si>
    <t>10. Génération automatique rapports baromètre</t>
  </si>
  <si>
    <t>6. Structure finale recommandée (résumé)</t>
  </si>
  <si>
    <t>1. PROPOSITION DE CONTENU DÉTAILLÉ DE CHAQUE PAGE</t>
  </si>
  <si>
    <r>
      <t>🔷</t>
    </r>
    <r>
      <rPr>
        <b/>
        <sz val="12"/>
        <color theme="1"/>
        <rFont val="Century Gothic"/>
        <family val="2"/>
      </rPr>
      <t xml:space="preserve"> PAGE : ACCUEIL</t>
    </r>
  </si>
  <si>
    <t>Donner une lecture rapide de la situation économique.</t>
  </si>
  <si>
    <t>1. Bannière principale</t>
  </si>
  <si>
    <r>
      <t>Titre : </t>
    </r>
    <r>
      <rPr>
        <b/>
        <i/>
        <sz val="12"/>
        <color theme="1"/>
        <rFont val="Century Gothic"/>
        <family val="2"/>
      </rPr>
      <t>Baromètre Industrie et Commerce – Guinée</t>
    </r>
  </si>
  <si>
    <t>Sous-titre : Suivi de la performance économique nationale</t>
  </si>
  <si>
    <t>Boutons :</t>
  </si>
  <si>
    <t>Consulter Industrie</t>
  </si>
  <si>
    <t>Consulter Commerce</t>
  </si>
  <si>
    <t>Télécharger le dernier rapport</t>
  </si>
  <si>
    <t>2. Tableau de bord synthétique</t>
  </si>
  <si>
    <t>Indice global (IBIC)</t>
  </si>
  <si>
    <t>Industrie : tendance (↑ ↓ →)</t>
  </si>
  <si>
    <t>Commerce : tendance (↑ ↓ →)</t>
  </si>
  <si>
    <t>3. Indicateurs clés (cartes visuelles)</t>
  </si>
  <si>
    <t>4. Graphiques rapides</t>
  </si>
  <si>
    <t>Évolution trimestrielle</t>
  </si>
  <si>
    <t>Comparaison Industrie vs Commerce</t>
  </si>
  <si>
    <t>5. Dernières publications</t>
  </si>
  <si>
    <t>Rapport trimestriel</t>
  </si>
  <si>
    <t>Note de conjoncture</t>
  </si>
  <si>
    <t>3 à 5 articles récents</t>
  </si>
  <si>
    <r>
      <t>🔷</t>
    </r>
    <r>
      <rPr>
        <b/>
        <sz val="12"/>
        <color theme="1"/>
        <rFont val="Century Gothic"/>
        <family val="2"/>
      </rPr>
      <t xml:space="preserve"> PAGE : A PROPOS</t>
    </r>
  </si>
  <si>
    <t>1. Présentation</t>
  </si>
  <si>
    <t>Texte institutionnel :</t>
  </si>
  <si>
    <t>Contexte de création</t>
  </si>
  <si>
    <t>Importance du baromètre</t>
  </si>
  <si>
    <t>Suivi de la conjoncture</t>
  </si>
  <si>
    <t>Aide à la décision</t>
  </si>
  <si>
    <t>Information des acteurs</t>
  </si>
  <si>
    <t>Enquêtes entreprises</t>
  </si>
  <si>
    <t>Données administratives</t>
  </si>
  <si>
    <t>Traitement statistique</t>
  </si>
  <si>
    <t>4. Sources</t>
  </si>
  <si>
    <t>Entreprises</t>
  </si>
  <si>
    <t>Institut statistique</t>
  </si>
  <si>
    <t>Banque centrale</t>
  </si>
  <si>
    <t>Trimestrielle (recommandé)</t>
  </si>
  <si>
    <t>Logos + rôles</t>
  </si>
  <si>
    <t>Coordonnateur</t>
  </si>
  <si>
    <t>Analystes</t>
  </si>
  <si>
    <t>Statisticiens</t>
  </si>
  <si>
    <r>
      <t>🔷</t>
    </r>
    <r>
      <rPr>
        <b/>
        <sz val="12"/>
        <color theme="1"/>
        <rFont val="Century Gothic"/>
        <family val="2"/>
      </rPr>
      <t xml:space="preserve"> PAGE : BAROMÈTRE INDUSTRIE</t>
    </r>
  </si>
  <si>
    <t>Widgets</t>
  </si>
  <si>
    <t>Indice Industrie</t>
  </si>
  <si>
    <t>2. Indicateurs clés (avec filtres)</t>
  </si>
  <si>
    <t>Filtres :</t>
  </si>
  <si>
    <t>Indice de production</t>
  </si>
  <si>
    <t>Taux d’utilisation capacité</t>
  </si>
  <si>
    <r>
      <t>📊</t>
    </r>
    <r>
      <rPr>
        <b/>
        <sz val="12"/>
        <color theme="1"/>
        <rFont val="Century Gothic"/>
        <family val="2"/>
      </rPr>
      <t xml:space="preserve"> Graphiques :</t>
    </r>
  </si>
  <si>
    <t>Évolution</t>
  </si>
  <si>
    <t>Comparaison sectorielle</t>
  </si>
  <si>
    <t>4. Investissements</t>
  </si>
  <si>
    <t>Montants investis</t>
  </si>
  <si>
    <t>Projets industriels</t>
  </si>
  <si>
    <t>5. Emploi</t>
  </si>
  <si>
    <t>Effectifs</t>
  </si>
  <si>
    <t>Volume</t>
  </si>
  <si>
    <t>Produits principaux</t>
  </si>
  <si>
    <t>Énergie</t>
  </si>
  <si>
    <t>Production future</t>
  </si>
  <si>
    <t>9. Téléchargement</t>
  </si>
  <si>
    <t>Données Excel</t>
  </si>
  <si>
    <t>Rapport PDF</t>
  </si>
  <si>
    <r>
      <t>🔷</t>
    </r>
    <r>
      <rPr>
        <b/>
        <sz val="12"/>
        <color theme="1"/>
        <rFont val="Century Gothic"/>
        <family val="2"/>
      </rPr>
      <t xml:space="preserve"> PAGE : BAROMÈTRE COMMERCE</t>
    </r>
  </si>
  <si>
    <t>Indice Commerce</t>
  </si>
  <si>
    <t>2. Commerce intérieur</t>
  </si>
  <si>
    <t>Fréquentation</t>
  </si>
  <si>
    <t>3. Commerce extérieur</t>
  </si>
  <si>
    <t>4. Prix et inflation</t>
  </si>
  <si>
    <t>Évolution des prix</t>
  </si>
  <si>
    <t>Produits alimentaires</t>
  </si>
  <si>
    <t>Produits importés</t>
  </si>
  <si>
    <t>5. Contraintes</t>
  </si>
  <si>
    <t>6. Perspectives</t>
  </si>
  <si>
    <t>Ventes futures</t>
  </si>
  <si>
    <t>7. Téléchargement</t>
  </si>
  <si>
    <t>Rapports</t>
  </si>
  <si>
    <r>
      <t>🔷</t>
    </r>
    <r>
      <rPr>
        <b/>
        <sz val="12"/>
        <color theme="1"/>
        <rFont val="Century Gothic"/>
        <family val="2"/>
      </rPr>
      <t xml:space="preserve"> PAGE : DONNÉES STATISTIQUES</t>
    </r>
  </si>
  <si>
    <t>Fonctionnalités</t>
  </si>
  <si>
    <t>Recherche d’indicateurs</t>
  </si>
  <si>
    <t>Tableaux dynamiques</t>
  </si>
  <si>
    <t>Export Excel / CSV</t>
  </si>
  <si>
    <t>Graphiques personnalisés</t>
  </si>
  <si>
    <r>
      <t>🔷</t>
    </r>
    <r>
      <rPr>
        <b/>
        <sz val="12"/>
        <color theme="1"/>
        <rFont val="Century Gothic"/>
        <family val="2"/>
      </rPr>
      <t xml:space="preserve"> PAGE : PUBLICATIONS</t>
    </r>
  </si>
  <si>
    <t>Organisation</t>
  </si>
  <si>
    <t>Par type :</t>
  </si>
  <si>
    <t>Notes</t>
  </si>
  <si>
    <t>Études</t>
  </si>
  <si>
    <t>Fiche publication</t>
  </si>
  <si>
    <t>Titre</t>
  </si>
  <si>
    <t>Résumé</t>
  </si>
  <si>
    <t>Auteur</t>
  </si>
  <si>
    <t>Date</t>
  </si>
  <si>
    <t>Télécharger PDF</t>
  </si>
  <si>
    <r>
      <t>🔷</t>
    </r>
    <r>
      <rPr>
        <b/>
        <sz val="12"/>
        <color theme="1"/>
        <rFont val="Century Gothic"/>
        <family val="2"/>
      </rPr>
      <t xml:space="preserve"> PAGE : ACTUALITÉS</t>
    </r>
  </si>
  <si>
    <t>Structure</t>
  </si>
  <si>
    <t>Articles avec :</t>
  </si>
  <si>
    <t>Image</t>
  </si>
  <si>
    <t>Catégories</t>
  </si>
  <si>
    <t>Économie</t>
  </si>
  <si>
    <t>Événements</t>
  </si>
  <si>
    <r>
      <t>🔷</t>
    </r>
    <r>
      <rPr>
        <b/>
        <sz val="12"/>
        <color theme="1"/>
        <rFont val="Century Gothic"/>
        <family val="2"/>
      </rPr>
      <t xml:space="preserve"> PAGE : PARTENAIRES</t>
    </r>
  </si>
  <si>
    <t>Logos</t>
  </si>
  <si>
    <t>Description des rôles</t>
  </si>
  <si>
    <t>Liens institutionnels</t>
  </si>
  <si>
    <r>
      <t>🔷</t>
    </r>
    <r>
      <rPr>
        <b/>
        <sz val="12"/>
        <color theme="1"/>
        <rFont val="Century Gothic"/>
        <family val="2"/>
      </rPr>
      <t xml:space="preserve"> PAGE : CONTACT</t>
    </r>
  </si>
  <si>
    <t>Formulaire</t>
  </si>
  <si>
    <t>Carte interactive</t>
  </si>
  <si>
    <t>2. MODÈLE DE TABLEAU DE BORD (TRÈS IMPORTANT)</t>
  </si>
  <si>
    <r>
      <t>🔶</t>
    </r>
    <r>
      <rPr>
        <b/>
        <sz val="12"/>
        <color theme="1"/>
        <rFont val="Century Gothic"/>
        <family val="2"/>
      </rPr>
      <t xml:space="preserve"> Structure du dashboard principal</t>
    </r>
  </si>
  <si>
    <t>1. Bandeau supérieur</t>
  </si>
  <si>
    <t>Période sélectionnée</t>
  </si>
  <si>
    <t>Bouton téléchargement</t>
  </si>
  <si>
    <t>2. Indice global (IBIC)</t>
  </si>
  <si>
    <t>Score : ex. 58/100</t>
  </si>
  <si>
    <t>Interprétation :</t>
  </si>
  <si>
    <r>
      <t>🔴</t>
    </r>
    <r>
      <rPr>
        <b/>
        <sz val="12"/>
        <color theme="1"/>
        <rFont val="Century Gothic"/>
        <family val="2"/>
      </rPr>
      <t xml:space="preserve"> Mauvais</t>
    </r>
  </si>
  <si>
    <r>
      <t>🟡</t>
    </r>
    <r>
      <rPr>
        <b/>
        <sz val="12"/>
        <color theme="1"/>
        <rFont val="Century Gothic"/>
        <family val="2"/>
      </rPr>
      <t xml:space="preserve"> Stable</t>
    </r>
  </si>
  <si>
    <r>
      <t>🟢</t>
    </r>
    <r>
      <rPr>
        <b/>
        <sz val="12"/>
        <color theme="1"/>
        <rFont val="Century Gothic"/>
        <family val="2"/>
      </rPr>
      <t xml:space="preserve"> Bon</t>
    </r>
  </si>
  <si>
    <t>3. Indices sectoriels</t>
  </si>
  <si>
    <t>Industrie : 55 (↓)</t>
  </si>
  <si>
    <t>Commerce : 60 (↑)</t>
  </si>
  <si>
    <t>4. Indicateurs clés (cards)</t>
  </si>
  <si>
    <t>5. Graphiques principaux</t>
  </si>
  <si>
    <t>1. Évolution globale</t>
  </si>
  <si>
    <t>IBIC sur 8 trimestres</t>
  </si>
  <si>
    <t>2. Industrie vs Commerce</t>
  </si>
  <si>
    <t>Courbes comparées</t>
  </si>
  <si>
    <t>Graphique ligne</t>
  </si>
  <si>
    <t>4. Commerce</t>
  </si>
  <si>
    <t>6. Analyse des contraintes</t>
  </si>
  <si>
    <t>Graphique :</t>
  </si>
  <si>
    <t>Barres :</t>
  </si>
  <si>
    <t>Financement</t>
  </si>
  <si>
    <t>7. Perspectives</t>
  </si>
  <si>
    <t>Optimistes</t>
  </si>
  <si>
    <t>Stables</t>
  </si>
  <si>
    <t>Pessimistes</t>
  </si>
  <si>
    <t>8. Carte régionale</t>
  </si>
  <si>
    <t>Indicateurs par région</t>
  </si>
  <si>
    <t>9. Tableau détaillé</t>
  </si>
  <si>
    <t>Données complètes</t>
  </si>
  <si>
    <t>Export Excel</t>
  </si>
  <si>
    <t>3. BONUS : VISUALISATIONS RECOMMANDÉES</t>
  </si>
  <si>
    <t>Courbes (évolution)</t>
  </si>
  <si>
    <t>Histogrammes (comparaison)</t>
  </si>
  <si>
    <t>Camemberts (répartition)</t>
  </si>
  <si>
    <t>Cartes (géographie)</t>
  </si>
  <si>
    <t>Indicateurs KPI (cards)</t>
  </si>
  <si>
    <t>4. FONCTIONNALITÉS AVANCÉES</t>
  </si>
  <si>
    <t>Filtres dynamiques</t>
  </si>
  <si>
    <t>Téléchargement automatique</t>
  </si>
  <si>
    <t>Comparaison annuelle</t>
  </si>
  <si>
    <t>Alertes économiques</t>
  </si>
  <si>
    <t>API de données</t>
  </si>
  <si>
    <t>Mise à jour en temps réel (optionnel)</t>
  </si>
  <si>
    <t>5. RÉSUMÉ</t>
  </si>
  <si>
    <t>Ce que tu as maintenant :</t>
  </si>
  <si>
    <r>
      <t>✔</t>
    </r>
    <r>
      <rPr>
        <b/>
        <sz val="12"/>
        <color theme="1"/>
        <rFont val="Century Gothic"/>
        <family val="2"/>
      </rPr>
      <t xml:space="preserve"> Une plateforme complète</t>
    </r>
  </si>
  <si>
    <r>
      <t>✔</t>
    </r>
    <r>
      <rPr>
        <b/>
        <sz val="12"/>
        <color theme="1"/>
        <rFont val="Century Gothic"/>
        <family val="2"/>
      </rPr>
      <t xml:space="preserve"> Un contenu page par page</t>
    </r>
  </si>
  <si>
    <r>
      <t>✔</t>
    </r>
    <r>
      <rPr>
        <b/>
        <sz val="12"/>
        <color theme="1"/>
        <rFont val="Century Gothic"/>
        <family val="2"/>
      </rPr>
      <t xml:space="preserve"> Un tableau de bord professionnel</t>
    </r>
  </si>
  <si>
    <r>
      <t>✔</t>
    </r>
    <r>
      <rPr>
        <b/>
        <sz val="12"/>
        <color theme="1"/>
        <rFont val="Century Gothic"/>
        <family val="2"/>
      </rPr>
      <t xml:space="preserve"> Des indicateurs adaptés à la Guinée</t>
    </r>
  </si>
  <si>
    <r>
      <t>✔</t>
    </r>
    <r>
      <rPr>
        <b/>
        <sz val="12"/>
        <color theme="1"/>
        <rFont val="Century Gothic"/>
        <family val="2"/>
      </rPr>
      <t xml:space="preserve"> Une structure prête pour développeurs</t>
    </r>
  </si>
  <si>
    <t>Si tu veux aller encore plus loin, je peux te proposer :</t>
  </si>
  <si>
    <t>un prototype visuel (maquette UX/UI)</t>
  </si>
  <si>
    <t>ou un modèle de rapport trimestriel du baromètre (format PDF prêt à remplir)</t>
  </si>
  <si>
    <t>Voici une proposition de prototype visuel (maquette UX/UI) pour la plateforme Baromètre Industrie et Commerce – Guinée.</t>
  </si>
  <si>
    <t>Je vais te décrire la maquette comme le ferait un designer UX pour que ce soit directement utilisable par un développeur web.</t>
  </si>
  <si>
    <t>1. MAQUETTE – PAGE D’ACCUEIL</t>
  </si>
  <si>
    <t>Structure visuelle (de haut en bas)</t>
  </si>
  <si>
    <r>
      <t>🔷</t>
    </r>
    <r>
      <rPr>
        <b/>
        <sz val="12"/>
        <color theme="1"/>
        <rFont val="Century Gothic"/>
        <family val="2"/>
      </rPr>
      <t xml:space="preserve"> Barre supérieure (Header)</t>
    </r>
  </si>
  <si>
    <t>Contenu :</t>
  </si>
  <si>
    <t>Logo ONCP</t>
  </si>
  <si>
    <r>
      <t>Nom : </t>
    </r>
    <r>
      <rPr>
        <b/>
        <i/>
        <sz val="12"/>
        <color theme="1"/>
        <rFont val="Century Gothic"/>
        <family val="2"/>
      </rPr>
      <t>Baromètre Industrie &amp; Commerce – Guinée</t>
    </r>
  </si>
  <si>
    <t>Menu :</t>
  </si>
  <si>
    <t>Bouton : Télécharger le rapport</t>
  </si>
  <si>
    <r>
      <t>🔷</t>
    </r>
    <r>
      <rPr>
        <b/>
        <sz val="12"/>
        <color theme="1"/>
        <rFont val="Century Gothic"/>
        <family val="2"/>
      </rPr>
      <t xml:space="preserve"> Bannière principale</t>
    </r>
  </si>
  <si>
    <t>Grand visuel (ville industrielle, port, commerce, etc.)</t>
  </si>
  <si>
    <t>Texte au centre :</t>
  </si>
  <si>
    <t>Baromètre Industrie et Commerce de la Guinée</t>
  </si>
  <si>
    <t>Suivi trimestriel de la performance économique</t>
  </si>
  <si>
    <t>Télécharger Rapport</t>
  </si>
  <si>
    <r>
      <t>🔷</t>
    </r>
    <r>
      <rPr>
        <b/>
        <sz val="12"/>
        <color theme="1"/>
        <rFont val="Century Gothic"/>
        <family val="2"/>
      </rPr>
      <t xml:space="preserve"> Tableau de bord rapide (cards KPI)</t>
    </r>
  </si>
  <si>
    <t>Disposition en 5 blocs :</t>
  </si>
  <si>
    <t>↑</t>
  </si>
  <si>
    <t>↓</t>
  </si>
  <si>
    <t>→</t>
  </si>
  <si>
    <t>Chaque indicateur = carte colorée.</t>
  </si>
  <si>
    <t>Couleurs recommandées :</t>
  </si>
  <si>
    <t>Vert = amélioration</t>
  </si>
  <si>
    <t>Orange = stable</t>
  </si>
  <si>
    <t>Rouge = baisse</t>
  </si>
  <si>
    <t>Bleu = indicateur neutre</t>
  </si>
  <si>
    <r>
      <t>🔷</t>
    </r>
    <r>
      <rPr>
        <b/>
        <sz val="12"/>
        <color theme="1"/>
        <rFont val="Century Gothic"/>
        <family val="2"/>
      </rPr>
      <t xml:space="preserve"> Graphiques principaux</t>
    </r>
  </si>
  <si>
    <t>Disposition en 2 colonnes :</t>
  </si>
  <si>
    <t>Gauche</t>
  </si>
  <si>
    <t>Évolution indice Industrie</t>
  </si>
  <si>
    <t>Évolution indice Commerce</t>
  </si>
  <si>
    <t>Droite</t>
  </si>
  <si>
    <t>Volume des ventes commerce</t>
  </si>
  <si>
    <r>
      <t>🔷</t>
    </r>
    <r>
      <rPr>
        <b/>
        <sz val="12"/>
        <color theme="1"/>
        <rFont val="Century Gothic"/>
        <family val="2"/>
      </rPr>
      <t xml:space="preserve"> Contraintes des entreprises</t>
    </r>
  </si>
  <si>
    <t>Graphique en barres :</t>
  </si>
  <si>
    <r>
      <t>🔷</t>
    </r>
    <r>
      <rPr>
        <b/>
        <sz val="12"/>
        <color theme="1"/>
        <rFont val="Century Gothic"/>
        <family val="2"/>
      </rPr>
      <t xml:space="preserve"> Perspectives</t>
    </r>
  </si>
  <si>
    <r>
      <t>🔷</t>
    </r>
    <r>
      <rPr>
        <b/>
        <sz val="12"/>
        <color theme="1"/>
        <rFont val="Century Gothic"/>
        <family val="2"/>
      </rPr>
      <t xml:space="preserve"> Dernières publications</t>
    </r>
  </si>
  <si>
    <t>Cartes avec :</t>
  </si>
  <si>
    <t>Image couverture</t>
  </si>
  <si>
    <t>Bouton Télécharger</t>
  </si>
  <si>
    <r>
      <t>🔷</t>
    </r>
    <r>
      <rPr>
        <b/>
        <sz val="12"/>
        <color theme="1"/>
        <rFont val="Century Gothic"/>
        <family val="2"/>
      </rPr>
      <t xml:space="preserve"> Actualités</t>
    </r>
  </si>
  <si>
    <t>Liste d’articles :</t>
  </si>
  <si>
    <t>Réformes économiques</t>
  </si>
  <si>
    <t>Activités ONCP</t>
  </si>
  <si>
    <r>
      <t>🔷</t>
    </r>
    <r>
      <rPr>
        <b/>
        <sz val="12"/>
        <color theme="1"/>
        <rFont val="Century Gothic"/>
        <family val="2"/>
      </rPr>
      <t xml:space="preserve"> Footer</t>
    </r>
  </si>
  <si>
    <t>Contacts</t>
  </si>
  <si>
    <t>Réseaux sociaux</t>
  </si>
  <si>
    <t>Copyright ONCP</t>
  </si>
  <si>
    <t>2. MAQUETTE – PAGE BAROMÈTRE INDUSTRIE</t>
  </si>
  <si>
    <t>Bandeau</t>
  </si>
  <si>
    <t>Baromètre Industrie – Guinée</t>
  </si>
  <si>
    <t>Filtres</t>
  </si>
  <si>
    <t>Secteur industriel</t>
  </si>
  <si>
    <t>Cards :</t>
  </si>
  <si>
    <t>2. Investissements</t>
  </si>
  <si>
    <t>3. Emploi</t>
  </si>
  <si>
    <t>4. Exportations</t>
  </si>
  <si>
    <t>Tableau des indicateurs</t>
  </si>
  <si>
    <t>Avec bouton :</t>
  </si>
  <si>
    <t>Export PDF</t>
  </si>
  <si>
    <t>3. MAQUETTE – PAGE BAROMÈTRE COMMERCE</t>
  </si>
  <si>
    <t>Même structure que Industrie mais avec :</t>
  </si>
  <si>
    <t>4. MAQUETTE – TABLEAU DE BORD GLOBAL (IMPORTANT)</t>
  </si>
  <si>
    <t>Structure idéale du Dashboard</t>
  </si>
  <si>
    <t>-------------------------------------------------</t>
  </si>
  <si>
    <t>| Indice Global | Industrie | Commerce |</t>
  </si>
  <si>
    <t>| Production | Ventes | Emploi | Export |</t>
  </si>
  <si>
    <t>| Graphique évolution globale                 |</t>
  </si>
  <si>
    <t>| Industrie vs Commerce                      |</t>
  </si>
  <si>
    <t>| Contraintes entreprises                    |</t>
  </si>
  <si>
    <t>| Perspectives                               |</t>
  </si>
  <si>
    <t>| Carte régionale                            |</t>
  </si>
  <si>
    <t>| Tableau données                            |</t>
  </si>
  <si>
    <t>5. COULEURS RECOMMANDÉES (TRÈS IMPORTANT UX)</t>
  </si>
  <si>
    <t>Je recommande pour la Guinée :</t>
  </si>
  <si>
    <t>Couleur</t>
  </si>
  <si>
    <t>Utilisation</t>
  </si>
  <si>
    <t>Vert</t>
  </si>
  <si>
    <t>Croissance</t>
  </si>
  <si>
    <t>Rouge</t>
  </si>
  <si>
    <t>Orange</t>
  </si>
  <si>
    <t>Bleu</t>
  </si>
  <si>
    <t>Institution</t>
  </si>
  <si>
    <t>Gris</t>
  </si>
  <si>
    <t>Fond</t>
  </si>
  <si>
    <t>Blanc</t>
  </si>
  <si>
    <t>Cartes</t>
  </si>
  <si>
    <t>Palette inspirée du drapeau guinéen :</t>
  </si>
  <si>
    <t>Jaune</t>
  </si>
  <si>
    <t>6. COMPOSANTS UX À PRÉVOIR</t>
  </si>
  <si>
    <t>Interface utilisateur</t>
  </si>
  <si>
    <t>Cards indicateurs</t>
  </si>
  <si>
    <t>Graphiques interactifs</t>
  </si>
  <si>
    <t>Téléchargement Excel/PDF</t>
  </si>
  <si>
    <t>Tableau dynamique</t>
  </si>
  <si>
    <t>Carte géographique</t>
  </si>
  <si>
    <t>Recherche données</t>
  </si>
  <si>
    <t>Menu latéral (dashboard)</t>
  </si>
  <si>
    <t>Notifications économiques</t>
  </si>
  <si>
    <t>7. STRUCTURE VISUELLE DU SITE</t>
  </si>
  <si>
    <t>Architecture UX</t>
  </si>
  <si>
    <t xml:space="preserve">   |</t>
  </si>
  <si>
    <t xml:space="preserve">   |--- Tableau de bord</t>
  </si>
  <si>
    <t xml:space="preserve">   |--- Indicateurs clés</t>
  </si>
  <si>
    <t xml:space="preserve">   |--- Graphiques</t>
  </si>
  <si>
    <t xml:space="preserve">   |--- Publications</t>
  </si>
  <si>
    <t xml:space="preserve">   |--- Actualités</t>
  </si>
  <si>
    <t xml:space="preserve">   |--- Industrie</t>
  </si>
  <si>
    <t xml:space="preserve">   |       |--- Production</t>
  </si>
  <si>
    <t xml:space="preserve">   |       |--- Investissements</t>
  </si>
  <si>
    <t xml:space="preserve">   |       |--- Emploi</t>
  </si>
  <si>
    <t xml:space="preserve">   |       |--- Exportations</t>
  </si>
  <si>
    <t xml:space="preserve">   |       |--- Contraintes</t>
  </si>
  <si>
    <t xml:space="preserve">   |       |--- Perspectives</t>
  </si>
  <si>
    <t xml:space="preserve">   |--- Commerce</t>
  </si>
  <si>
    <t xml:space="preserve">           |--- Ventes</t>
  </si>
  <si>
    <t xml:space="preserve">           |--- Importations</t>
  </si>
  <si>
    <t xml:space="preserve">           |--- Prix</t>
  </si>
  <si>
    <t xml:space="preserve">           |--- Stocks</t>
  </si>
  <si>
    <t xml:space="preserve">           |--- Contraintes</t>
  </si>
  <si>
    <t xml:space="preserve">           |--- Perspectives</t>
  </si>
  <si>
    <t>DONNÉES</t>
  </si>
  <si>
    <t>8. Si tu veux une plateforme professionnelle</t>
  </si>
  <si>
    <t>Il faut prévoir ces modules :</t>
  </si>
  <si>
    <t>Dashboard interactif</t>
  </si>
  <si>
    <t>Module enquêtes entreprises</t>
  </si>
  <si>
    <t>Module publications</t>
  </si>
  <si>
    <t>Module actualités</t>
  </si>
  <si>
    <t>Génération automatique du rapport Baromètre</t>
  </si>
  <si>
    <t>9. Structure finale recommandée (très important)</t>
  </si>
  <si>
    <t>Menu final du site</t>
  </si>
  <si>
    <t>la base de données des indicateurs</t>
  </si>
  <si>
    <t>le questionnaire d’enquête du baromètre</t>
  </si>
  <si>
    <t>le modèle de rapport trimestriel</t>
  </si>
  <si>
    <t>propose un modèle de rapport trimestriel du baromètre (format PDF prêt à remplir)</t>
  </si>
  <si>
    <t>J’ai préparé pour toi un modèle de rapport trimestriel du Baromètre Industrie &amp; Commerce (ONCP) prêt à être utilisé et rempli.</t>
  </si>
  <si>
    <r>
      <t>👉</t>
    </r>
    <r>
      <rPr>
        <b/>
        <sz val="12"/>
        <color theme="1"/>
        <rFont val="Century Gothic"/>
        <family val="2"/>
      </rPr>
      <t> Télécharger le modèle PDF :</t>
    </r>
  </si>
  <si>
    <t>Ce que contient le modèle</t>
  </si>
  <si>
    <t>Le document est structuré de manière professionnelle et directement exploitable :</t>
  </si>
  <si>
    <r>
      <t>✔</t>
    </r>
    <r>
      <rPr>
        <b/>
        <sz val="12"/>
        <color theme="1"/>
        <rFont val="Century Gothic"/>
        <family val="2"/>
      </rPr>
      <t xml:space="preserve"> Sections incluses</t>
    </r>
  </si>
  <si>
    <t>1. Informations générales</t>
  </si>
  <si>
    <t>2. Résumé exécutif</t>
  </si>
  <si>
    <t>3. Indice global (IBIC)</t>
  </si>
  <si>
    <t>4. Analyse du secteur Industrie</t>
  </si>
  <si>
    <t>5. Analyse du secteur Commerce</t>
  </si>
  <si>
    <t>6. Contraintes majeures</t>
  </si>
  <si>
    <t>8. Recommandations</t>
  </si>
  <si>
    <r>
      <t>✔</t>
    </r>
    <r>
      <rPr>
        <b/>
        <sz val="12"/>
        <color theme="1"/>
        <rFont val="Century Gothic"/>
        <family val="2"/>
      </rPr>
      <t xml:space="preserve"> Tableaux prêts à remplir</t>
    </r>
  </si>
  <si>
    <t>Indicateurs avec :</t>
  </si>
  <si>
    <t>Commentaires</t>
  </si>
  <si>
    <t>Tableaux structurés pour :</t>
  </si>
  <si>
    <t>Indice global</t>
  </si>
  <si>
    <t>Comment l’utiliser efficacement</t>
  </si>
  <si>
    <t>Tu peux :</t>
  </si>
  <si>
    <t>Le remplir manuellement</t>
  </si>
  <si>
    <t>Le compléter avec les données du dashboard</t>
  </si>
  <si>
    <t>L’envoyer directement aux décideurs</t>
  </si>
  <si>
    <t>L’adapter en version officielle ONCP (logo, couleurs, charte graphique)</t>
  </si>
  <si>
    <t>Si tu veux aller encore plus loin</t>
  </si>
  <si>
    <t>Je peux te proposer :</t>
  </si>
  <si>
    <t>une version premium avec graphiques intégrés automatiquement</t>
  </si>
  <si>
    <t>un modèle Word modifiable</t>
  </si>
  <si>
    <t>ou un rapport automatisé connecté à la base de données du baromètre</t>
  </si>
  <si>
    <r>
      <t xml:space="preserve">Dis-moi </t>
    </r>
    <r>
      <rPr>
        <b/>
        <sz val="12"/>
        <color theme="1"/>
        <rFont val="Segoe UI Emoji"/>
        <family val="2"/>
      </rPr>
      <t>👍</t>
    </r>
    <r>
      <rPr>
        <b/>
        <sz val="12"/>
        <color theme="1"/>
        <rFont val="Century Gothic"/>
        <family val="2"/>
      </rPr>
      <t> </t>
    </r>
  </si>
  <si>
    <t>propose base de données des indicateurs</t>
  </si>
  <si>
    <t>Voici une proposition de base de données des indicateurs pour la plateforme</t>
  </si>
  <si>
    <t>Baromètre Industrie et Commerce – Guinée (ONCP).</t>
  </si>
  <si>
    <t>Cette structure peut être utilisée dans Excel, Access, MySQL, PostgreSQL, Power BI ou un site web.</t>
  </si>
  <si>
    <t>La base doit être organisée en tables.</t>
  </si>
  <si>
    <t>Table : indice_barometre</t>
  </si>
  <si>
    <t>Periode</t>
  </si>
  <si>
    <t>Ce questionnaire est conçu pour une enquête trimestrielle de conjoncture auprès des entreprises industrielles et commerciales.</t>
  </si>
  <si>
    <t>QUESTIONNAIRE D’ENQUÊTE ENTREPRISES</t>
  </si>
  <si>
    <t>SECTION 1 : IDENTIFICATION DE L’ENTREPRISE</t>
  </si>
  <si>
    <t>1. Nom de l’entreprise (optionnel)</t>
  </si>
  <si>
    <t>2. Région :</t>
  </si>
  <si>
    <t>3. Secteur d’activité :</t>
  </si>
  <si>
    <t>4. Sous-secteur :</t>
  </si>
  <si>
    <t>Agro-industrie</t>
  </si>
  <si>
    <t>Mines</t>
  </si>
  <si>
    <t>BTP</t>
  </si>
  <si>
    <t>Textile</t>
  </si>
  <si>
    <t>Import / Export</t>
  </si>
  <si>
    <t>5. Taille de l’entreprise :</t>
  </si>
  <si>
    <t>Très petite</t>
  </si>
  <si>
    <t>Petite</t>
  </si>
  <si>
    <t>Moyenne</t>
  </si>
  <si>
    <t>Grande</t>
  </si>
  <si>
    <t>6. Nombre d’employés :</t>
  </si>
  <si>
    <t>1–10</t>
  </si>
  <si>
    <t>11–50</t>
  </si>
  <si>
    <t>51–100</t>
  </si>
  <si>
    <t>100+</t>
  </si>
  <si>
    <t>SECTION 2 : ACTIVITÉ DE L’ENTREPRISE (TRIMESTRE)</t>
  </si>
  <si>
    <t>Évolution par rapport au trimestre précédent</t>
  </si>
  <si>
    <t>Indiquer si la situation est :</t>
  </si>
  <si>
    <t>En hausse</t>
  </si>
  <si>
    <t>En baisse</t>
  </si>
  <si>
    <t>Production / Ventes</t>
  </si>
  <si>
    <t>☐</t>
  </si>
  <si>
    <t>SECTION 3 : PRODUCTION / VENTES</t>
  </si>
  <si>
    <t>Niveau d’activité actuel</t>
  </si>
  <si>
    <t>Comment jugez-vous votre niveau d’activité ?</t>
  </si>
  <si>
    <t>Très bon</t>
  </si>
  <si>
    <t>Bon</t>
  </si>
  <si>
    <t>Moyen</t>
  </si>
  <si>
    <t>Mauvais</t>
  </si>
  <si>
    <t>Très mauvais</t>
  </si>
  <si>
    <t>Taux d’utilisation des capacités (Industrie)</t>
  </si>
  <si>
    <t>Moins de 50 %</t>
  </si>
  <si>
    <t>50 – 70 %</t>
  </si>
  <si>
    <t>70 – 85 %</t>
  </si>
  <si>
    <t>Plus de 85 %</t>
  </si>
  <si>
    <t>Situation des stocks</t>
  </si>
  <si>
    <t>Trop élevés</t>
  </si>
  <si>
    <t>Normaux</t>
  </si>
  <si>
    <t>Faibles</t>
  </si>
  <si>
    <t>SECTION 4 : EMPLOI</t>
  </si>
  <si>
    <t>Au cours du trimestre :</t>
  </si>
  <si>
    <t>Oui</t>
  </si>
  <si>
    <t>Non</t>
  </si>
  <si>
    <t>Recrutement</t>
  </si>
  <si>
    <t>Licenciement</t>
  </si>
  <si>
    <t>Salaires augmentés</t>
  </si>
  <si>
    <t>Évolution globale de l’emploi :</t>
  </si>
  <si>
    <t>SECTION 5 : INVESTISSEMENTS</t>
  </si>
  <si>
    <t>Avez-vous réalisé des investissements ?</t>
  </si>
  <si>
    <t>Si oui, domaines :</t>
  </si>
  <si>
    <t>Machines</t>
  </si>
  <si>
    <t>Bâtiments</t>
  </si>
  <si>
    <t>Véhicules</t>
  </si>
  <si>
    <t>Informatique</t>
  </si>
  <si>
    <t>Extension activité</t>
  </si>
  <si>
    <t>Prévisions d’investissement prochain trimestre :</t>
  </si>
  <si>
    <t>Augmenter</t>
  </si>
  <si>
    <t>Maintenir</t>
  </si>
  <si>
    <t>Réduire</t>
  </si>
  <si>
    <t>SECTION 6 : COMMERCE EXTÉRIEUR (si concerné)</t>
  </si>
  <si>
    <t>Délais douane</t>
  </si>
  <si>
    <t>SECTION 7 : CONTRAINTES RENCONTRÉES</t>
  </si>
  <si>
    <t>Niveau de contrainte (1 à 4)</t>
  </si>
  <si>
    <t>Contrainte</t>
  </si>
  <si>
    <t>Faible</t>
  </si>
  <si>
    <t>Élevé</t>
  </si>
  <si>
    <t>Très élevé</t>
  </si>
  <si>
    <t>Concurrence informelle</t>
  </si>
  <si>
    <t>SECTION 8 : TRÉSORERIE ET FINANCEMENT</t>
  </si>
  <si>
    <t>Situation de la trésorerie :</t>
  </si>
  <si>
    <t>Normale</t>
  </si>
  <si>
    <t>Mauvaise</t>
  </si>
  <si>
    <t>Accès au crédit bancaire :</t>
  </si>
  <si>
    <t>Facile</t>
  </si>
  <si>
    <t>Normal</t>
  </si>
  <si>
    <t>Difficile</t>
  </si>
  <si>
    <t>Impossible</t>
  </si>
  <si>
    <t>Taux d’intérêt jugé :</t>
  </si>
  <si>
    <t>SECTION 9 : PRIX</t>
  </si>
  <si>
    <t>Évolution des prix de vente :</t>
  </si>
  <si>
    <t>Augmentation</t>
  </si>
  <si>
    <t>Diminution</t>
  </si>
  <si>
    <t>Évolution des coûts :</t>
  </si>
  <si>
    <t>Matières premières</t>
  </si>
  <si>
    <t>(Hausse / Stable / Baisse)</t>
  </si>
  <si>
    <t>SECTION 10 : PERSPECTIVES (PROCHAIN TRIMESTRE)</t>
  </si>
  <si>
    <t>SECTION 11 : APPRÉCIATION GÉNÉRALE</t>
  </si>
  <si>
    <t>Comment jugez-vous la situation économique actuelle ?</t>
  </si>
  <si>
    <t>Très bonne</t>
  </si>
  <si>
    <t>Très mauvaise</t>
  </si>
  <si>
    <t>Comment jugez-vous le climat des affaires ?</t>
  </si>
  <si>
    <t>SECTION 12 : COMMENTAIRES</t>
  </si>
  <si>
    <t>Quelles sont vos principales difficultés ?</t>
  </si>
  <si>
    <t>......................................................</t>
  </si>
  <si>
    <t>Quelles réformes recommandez-vous ?</t>
  </si>
  <si>
    <t>FORMAT POUR KOBO / ODK / GOOGLE FORM</t>
  </si>
  <si>
    <t>Types de questions</t>
  </si>
  <si>
    <t>Type</t>
  </si>
  <si>
    <t>Exemple</t>
  </si>
  <si>
    <t>Choix unique</t>
  </si>
  <si>
    <t>Hausse / Stable / Baisse</t>
  </si>
  <si>
    <t>Choix multiple</t>
  </si>
  <si>
    <t>Contraintes</t>
  </si>
  <si>
    <t>Numérique</t>
  </si>
  <si>
    <t>Nombre employés</t>
  </si>
  <si>
    <t>Texte</t>
  </si>
  <si>
    <t>Échelle 1–5</t>
  </si>
  <si>
    <t>INDICATEURS CALCULÉS À PARTIR DU QUESTIONNAIRE</t>
  </si>
  <si>
    <t>À partir de l’enquête, on calcule :</t>
  </si>
  <si>
    <t>Indice production</t>
  </si>
  <si>
    <t>Indice ventes</t>
  </si>
  <si>
    <t>Indice emploi</t>
  </si>
  <si>
    <t>Indice investissement</t>
  </si>
  <si>
    <t>Indice export</t>
  </si>
  <si>
    <t>Indice prix</t>
  </si>
  <si>
    <t>Indice contraintes</t>
  </si>
  <si>
    <t>Indice climat des affaires</t>
  </si>
  <si>
    <t>Indice perspectives</t>
  </si>
  <si>
    <t>Indice global baromètre</t>
  </si>
  <si>
    <t>STRUCTURE LOGIQUE DU QUESTIONNAIRE</t>
  </si>
  <si>
    <t>Identification entreprise</t>
  </si>
  <si>
    <t>Activité</t>
  </si>
  <si>
    <t>Si tu veux faire un vrai baromètre national</t>
  </si>
  <si>
    <t>Prochaine étape importante :</t>
  </si>
  <si>
    <t>la méthodologie de calcul de l’indice du baromètre</t>
  </si>
  <si>
    <t>le système de pondération</t>
  </si>
  <si>
    <t>le modèle d’analyse trimestrielle</t>
  </si>
  <si>
    <t>propose : la méthodologie de calcul de l’indice du baromètre; le système de pondération; et le modèle d’analyse trimestrielle</t>
  </si>
  <si>
    <t>Voici une proposition complète et professionnelle pour le</t>
  </si>
  <si>
    <t>Baromètre Industrie et Commerce – Guinée (ONCP) comprenant :</t>
  </si>
  <si>
    <t>1. Méthodologie de calcul de l’indice du baromètre</t>
  </si>
  <si>
    <t>2. Système de pondération</t>
  </si>
  <si>
    <t>3. Modèle d’analyse trimestrielle</t>
  </si>
  <si>
    <t>C’est la partie la plus importante du baromètre.</t>
  </si>
  <si>
    <t>1. MÉTHODOLOGIE DE CALCUL DE L’INDICE DU BAROMÈTRE</t>
  </si>
  <si>
    <t>Principe général</t>
  </si>
  <si>
    <t>Le baromètre repose sur des enquêtes de conjoncture auprès des entreprises.</t>
  </si>
  <si>
    <t>Les entreprises indiquent si les indicateurs sont :</t>
  </si>
  <si>
    <t>On transforme ces réponses en indices de diffusion.</t>
  </si>
  <si>
    <t>Méthode des indices de diffusion (méthode standard mondiale)</t>
  </si>
  <si>
    <t>Pour chaque indicateur :</t>
  </si>
  <si>
    <t>Formule</t>
  </si>
  <si>
    <t>Indice = (% Hausse × 1) + (% Stable × 0,5) + (% Baisse × 0)</t>
  </si>
  <si>
    <t>Indice = % Hausse + (0,5 × % Stable)</t>
  </si>
  <si>
    <t>Interprétation</t>
  </si>
  <si>
    <t>&gt; 50</t>
  </si>
  <si>
    <t>Amélioration</t>
  </si>
  <si>
    <t>&lt; 50</t>
  </si>
  <si>
    <t>Détérioration</t>
  </si>
  <si>
    <t>Exemple de calcul</t>
  </si>
  <si>
    <t>Enquête sur la production :</t>
  </si>
  <si>
    <t>Réponse</t>
  </si>
  <si>
    <t>%</t>
  </si>
  <si>
    <t>Calcul :</t>
  </si>
  <si>
    <t>Indice = 40 + (0,5 × 30)</t>
  </si>
  <si>
    <t>Indice = 40 + 15</t>
  </si>
  <si>
    <t>Indice = 55</t>
  </si>
  <si>
    <r>
      <t>➡</t>
    </r>
    <r>
      <rPr>
        <b/>
        <sz val="12"/>
        <color theme="1"/>
        <rFont val="Century Gothic"/>
        <family val="2"/>
      </rPr>
      <t>️ La production est en amélioration.</t>
    </r>
  </si>
  <si>
    <t>2. INDICES À CALCULER</t>
  </si>
  <si>
    <t>Indices Industrie</t>
  </si>
  <si>
    <t>Indice commandes</t>
  </si>
  <si>
    <t>Indice stocks</t>
  </si>
  <si>
    <t>Indice exportations</t>
  </si>
  <si>
    <t>Indice trésorerie</t>
  </si>
  <si>
    <t>Indices Commerce</t>
  </si>
  <si>
    <t>Indice importations</t>
  </si>
  <si>
    <t>3. CALCUL DES INDICES SECTORIELS</t>
  </si>
  <si>
    <t>Indice Industrie =</t>
  </si>
  <si>
    <t>(Production + Commandes + Emploi + Investissements + Exportations + Trésorerie) / 6</t>
  </si>
  <si>
    <t>Indice Commerce =</t>
  </si>
  <si>
    <t>(Ventes + Stocks + Importations + Prix + Emploi + Trésorerie) / 6</t>
  </si>
  <si>
    <t>4. INDICE GLOBAL DU BAROMÈTRE (IBIC)</t>
  </si>
  <si>
    <t>IBIC = (Indice Industrie × Poids Industrie) +</t>
  </si>
  <si>
    <t xml:space="preserve">       (Indice Commerce × Poids Commerce)</t>
  </si>
  <si>
    <t>Si poids égaux :</t>
  </si>
  <si>
    <t>IBIC = (Indice Industrie + Indice Commerce) / 2</t>
  </si>
  <si>
    <t>5. SYSTÈME DE PONDÉRATION</t>
  </si>
  <si>
    <t>La pondération peut être basée sur :</t>
  </si>
  <si>
    <t>Contribution au PIB</t>
  </si>
  <si>
    <t>Contribution à l’emploi</t>
  </si>
  <si>
    <t>Nombre d’entreprises</t>
  </si>
  <si>
    <t>Proposition pour la Guinée</t>
  </si>
  <si>
    <t>Pondération</t>
  </si>
  <si>
    <t>Pourquoi ?</t>
  </si>
  <si>
    <t>Le commerce représente souvent plus d’entreprises</t>
  </si>
  <si>
    <t>Poids important dans l’économie informelle</t>
  </si>
  <si>
    <t>Forte contribution à l’emploi</t>
  </si>
  <si>
    <t>Pondération des indicateurs Industrie</t>
  </si>
  <si>
    <t>Poids</t>
  </si>
  <si>
    <t>Pondération des indicateurs Commerce</t>
  </si>
  <si>
    <t>6. ÉCHELLE D’INTERPRÉTATION DE L’INDICE</t>
  </si>
  <si>
    <t>Valeur indice</t>
  </si>
  <si>
    <t>Situation</t>
  </si>
  <si>
    <t>0 – 40</t>
  </si>
  <si>
    <t>40 – 50</t>
  </si>
  <si>
    <t>Défavorable</t>
  </si>
  <si>
    <t>50 – 60</t>
  </si>
  <si>
    <t>Favorable</t>
  </si>
  <si>
    <t>60 – 100</t>
  </si>
  <si>
    <t>Très favorable</t>
  </si>
  <si>
    <t>7. MODÈLE D’ANALYSE TRIMESTRIELLE</t>
  </si>
  <si>
    <t>Structure du rapport trimestriel</t>
  </si>
  <si>
    <t>RAPPORT DU BAROMÈTRE – STRUCTURE</t>
  </si>
  <si>
    <t>1. Résumé exécutif</t>
  </si>
  <si>
    <t>Situation générale</t>
  </si>
  <si>
    <t>Tendances Industrie</t>
  </si>
  <si>
    <t>Tendances Commerce</t>
  </si>
  <si>
    <t>2. Situation économique générale</t>
  </si>
  <si>
    <t>Analyse :</t>
  </si>
  <si>
    <t>Activité économique</t>
  </si>
  <si>
    <t>Inflation</t>
  </si>
  <si>
    <t>3. Analyse secteur Industrie</t>
  </si>
  <si>
    <t>À analyser :</t>
  </si>
  <si>
    <t>Exemple d’analyse :</t>
  </si>
  <si>
    <t>Au cours du trimestre, l’activité industrielle a connu une légère amélioration.</t>
  </si>
  <si>
    <t>La production et les commandes sont en hausse tandis que les contraintes liées à l’électricité et au transport restent élevées.</t>
  </si>
  <si>
    <t>4. Analyse secteur Commerce</t>
  </si>
  <si>
    <t>5. Contraintes majeures des entreprises</t>
  </si>
  <si>
    <t>Les principales contraintes restent l’électricité, la fiscalité et l’accès au financement.</t>
  </si>
  <si>
    <t>7. Recommandations</t>
  </si>
  <si>
    <t>Recommandations possibles :</t>
  </si>
  <si>
    <t>Améliorer l’accès à l’électricité</t>
  </si>
  <si>
    <t>Réduire les coûts douaniers</t>
  </si>
  <si>
    <t>Faciliter l’accès au crédit</t>
  </si>
  <si>
    <t>Simplifier la fiscalité</t>
  </si>
  <si>
    <t>Développer les infrastructures</t>
  </si>
  <si>
    <t>Lutter contre l’informel</t>
  </si>
  <si>
    <t>8. TABLEAU RÉCAPITULATIF DU BAROMÈTRE</t>
  </si>
  <si>
    <t>T3</t>
  </si>
  <si>
    <t>T4</t>
  </si>
  <si>
    <t>Indice Global</t>
  </si>
  <si>
    <t>9. STRUCTURE GLOBALE DU BAROMÈTRE</t>
  </si>
  <si>
    <t>Le système complet devient :</t>
  </si>
  <si>
    <t>Questionnaire entreprises</t>
  </si>
  <si>
    <t xml:space="preserve">        ↓</t>
  </si>
  <si>
    <t>Calcul indices diffusion</t>
  </si>
  <si>
    <t>Indices sectoriels</t>
  </si>
  <si>
    <t>Analyse trimestrielle</t>
  </si>
  <si>
    <t>Rapport baromètre</t>
  </si>
  <si>
    <t>Publication sur plateforme</t>
  </si>
  <si>
    <t>Pour que le Baromètre Industrie et Commerce Guinée fonctionne, il faut :</t>
  </si>
  <si>
    <t>1. Questionnaire entreprises</t>
  </si>
  <si>
    <t>2. Base de données</t>
  </si>
  <si>
    <t>3. Méthodologie indices</t>
  </si>
  <si>
    <t>4. Pondérations</t>
  </si>
  <si>
    <t>5. Calcul indice global</t>
  </si>
  <si>
    <t>6. Tableau de bord</t>
  </si>
  <si>
    <t>7. Rapport trimestriel</t>
  </si>
  <si>
    <t>8. Plateforme web</t>
  </si>
  <si>
    <t>1. QUESTIONNAIRE D’ENQUÊTE ENTREPRISES (FORMAT OPÉRATIONNEL)</t>
  </si>
  <si>
    <r>
      <t>🔷</t>
    </r>
    <r>
      <rPr>
        <b/>
        <sz val="12"/>
        <color theme="1"/>
        <rFont val="Century Gothic"/>
        <family val="2"/>
      </rPr>
      <t xml:space="preserve"> Objectif</t>
    </r>
  </si>
  <si>
    <t>Mesurer l’évolution de la conjoncture économique sur une base trimestrielle.</t>
  </si>
  <si>
    <t>SECTION A : IDENTIFICATION</t>
  </si>
  <si>
    <t>Secteur : Industrie / Commerce</t>
  </si>
  <si>
    <t>Sous-secteur</t>
  </si>
  <si>
    <t>Taille de l’entreprise</t>
  </si>
  <si>
    <t>Nombre d’employés</t>
  </si>
  <si>
    <t>SECTION B : ÉVOLUTION DE L’ACTIVITÉ (TRIMESTRE)</t>
  </si>
  <si>
    <t>Question standard (clé du baromètre)</t>
  </si>
  <si>
    <r>
      <t>👉</t>
    </r>
    <r>
      <rPr>
        <b/>
        <sz val="12"/>
        <color theme="1"/>
        <rFont val="Century Gothic"/>
        <family val="2"/>
      </rPr>
      <t> </t>
    </r>
    <r>
      <rPr>
        <b/>
        <i/>
        <sz val="12"/>
        <color theme="1"/>
        <rFont val="Century Gothic"/>
        <family val="2"/>
      </rPr>
      <t>Par rapport au trimestre précédent, votre situation est :</t>
    </r>
  </si>
  <si>
    <t>SECTION C : NIVEAU ACTUEL</t>
  </si>
  <si>
    <t>Niveau d’activité :</t>
  </si>
  <si>
    <t>Très bon / Bon / Moyen / Mauvais / Très mauvais</t>
  </si>
  <si>
    <t>Utilisation des capacités (industrie) :</t>
  </si>
  <si>
    <t>&lt;50% / 50–70% / 70–85% / &gt;85%</t>
  </si>
  <si>
    <t>Stocks :</t>
  </si>
  <si>
    <t>Faibles / Normaux / Élevés</t>
  </si>
  <si>
    <t>SECTION D : CONTRAINTES</t>
  </si>
  <si>
    <r>
      <t>👉</t>
    </r>
    <r>
      <rPr>
        <b/>
        <sz val="12"/>
        <color theme="1"/>
        <rFont val="Century Gothic"/>
        <family val="2"/>
      </rPr>
      <t> </t>
    </r>
    <r>
      <rPr>
        <b/>
        <i/>
        <sz val="12"/>
        <color theme="1"/>
        <rFont val="Century Gothic"/>
        <family val="2"/>
      </rPr>
      <t>Niveau de contrainte (1 à 4)</t>
    </r>
  </si>
  <si>
    <t>SECTION E : FINANCEMENT</t>
  </si>
  <si>
    <t>Accès au crédit :</t>
  </si>
  <si>
    <t>Facile / Normal / Difficile / Impossible</t>
  </si>
  <si>
    <t>Trésorerie :</t>
  </si>
  <si>
    <t>Bonne / Moyenne / Mauvaise</t>
  </si>
  <si>
    <t>SECTION F : PERSPECTIVES</t>
  </si>
  <si>
    <r>
      <t>👉</t>
    </r>
    <r>
      <rPr>
        <b/>
        <sz val="12"/>
        <color theme="1"/>
        <rFont val="Century Gothic"/>
        <family val="2"/>
      </rPr>
      <t> </t>
    </r>
    <r>
      <rPr>
        <b/>
        <i/>
        <sz val="12"/>
        <color theme="1"/>
        <rFont val="Century Gothic"/>
        <family val="2"/>
      </rPr>
      <t>Pour le prochain trimestre :</t>
    </r>
  </si>
  <si>
    <t>SECTION G : APPRÉCIATION</t>
  </si>
  <si>
    <t>Climat des affaires :</t>
  </si>
  <si>
    <t>Très bon → Très mauvais</t>
  </si>
  <si>
    <t>Situation économique :</t>
  </si>
  <si>
    <t>Très bonne → Très mauvaise</t>
  </si>
  <si>
    <t>2. MÉTHODOLOGIE DE CALCUL DE L’INDICE DU BAROMÈTRE</t>
  </si>
  <si>
    <r>
      <t>🔷</t>
    </r>
    <r>
      <rPr>
        <b/>
        <sz val="12"/>
        <color theme="1"/>
        <rFont val="Century Gothic"/>
        <family val="2"/>
      </rPr>
      <t xml:space="preserve"> Étape 1 : Transformation des réponses</t>
    </r>
  </si>
  <si>
    <t>Chaque réponse est convertie en score :</t>
  </si>
  <si>
    <r>
      <t>🔷</t>
    </r>
    <r>
      <rPr>
        <b/>
        <sz val="12"/>
        <color theme="1"/>
        <rFont val="Century Gothic"/>
        <family val="2"/>
      </rPr>
      <t xml:space="preserve"> Étape 2 : Calcul de l’indice de diffusion</t>
    </r>
  </si>
  <si>
    <r>
      <t>Indice=%Hausse+0.5×%Stable</t>
    </r>
    <r>
      <rPr>
        <b/>
        <i/>
        <sz val="12"/>
        <color theme="1"/>
        <rFont val="Century Gothic"/>
        <family val="2"/>
      </rPr>
      <t>Indice</t>
    </r>
    <r>
      <rPr>
        <b/>
        <sz val="12"/>
        <color theme="1"/>
        <rFont val="Century Gothic"/>
        <family val="2"/>
      </rPr>
      <t>=%</t>
    </r>
    <r>
      <rPr>
        <b/>
        <i/>
        <sz val="12"/>
        <color theme="1"/>
        <rFont val="Century Gothic"/>
        <family val="2"/>
      </rPr>
      <t>Hausse</t>
    </r>
    <r>
      <rPr>
        <b/>
        <sz val="12"/>
        <color theme="1"/>
        <rFont val="Century Gothic"/>
        <family val="2"/>
      </rPr>
      <t>+0.5×%</t>
    </r>
    <r>
      <rPr>
        <b/>
        <i/>
        <sz val="12"/>
        <color theme="1"/>
        <rFont val="Century Gothic"/>
        <family val="2"/>
      </rPr>
      <t>Stable</t>
    </r>
  </si>
  <si>
    <r>
      <t>🔷</t>
    </r>
    <r>
      <rPr>
        <b/>
        <sz val="12"/>
        <color theme="1"/>
        <rFont val="Century Gothic"/>
        <family val="2"/>
      </rPr>
      <t xml:space="preserve"> Interprétation</t>
    </r>
  </si>
  <si>
    <t>Lecture</t>
  </si>
  <si>
    <r>
      <t>🔷</t>
    </r>
    <r>
      <rPr>
        <b/>
        <sz val="12"/>
        <color theme="1"/>
        <rFont val="Century Gothic"/>
        <family val="2"/>
      </rPr>
      <t xml:space="preserve"> Étape 3 : Indices par indicateur</t>
    </r>
  </si>
  <si>
    <t>Chaque variable produit un indice :</t>
  </si>
  <si>
    <t>etc.</t>
  </si>
  <si>
    <r>
      <t>🔷</t>
    </r>
    <r>
      <rPr>
        <b/>
        <sz val="12"/>
        <color theme="1"/>
        <rFont val="Century Gothic"/>
        <family val="2"/>
      </rPr>
      <t xml:space="preserve"> Étape 4 : Indice sectoriel</t>
    </r>
  </si>
  <si>
    <r>
      <t>Iindustrie=∑Indicateurs industrien</t>
    </r>
    <r>
      <rPr>
        <b/>
        <i/>
        <sz val="12"/>
        <color theme="1"/>
        <rFont val="Century Gothic"/>
        <family val="2"/>
      </rPr>
      <t>Iindustrie</t>
    </r>
    <r>
      <rPr>
        <b/>
        <sz val="12"/>
        <color theme="1"/>
        <rFont val="Arial"/>
        <family val="2"/>
      </rPr>
      <t>​</t>
    </r>
    <r>
      <rPr>
        <b/>
        <sz val="12"/>
        <color theme="1"/>
        <rFont val="Century Gothic"/>
        <family val="2"/>
      </rPr>
      <t>=</t>
    </r>
    <r>
      <rPr>
        <b/>
        <i/>
        <sz val="12"/>
        <color theme="1"/>
        <rFont val="Century Gothic"/>
        <family val="2"/>
      </rPr>
      <t>n</t>
    </r>
    <r>
      <rPr>
        <b/>
        <sz val="12"/>
        <color theme="1"/>
        <rFont val="Century Gothic"/>
        <family val="2"/>
      </rPr>
      <t>∑</t>
    </r>
    <r>
      <rPr>
        <b/>
        <i/>
        <sz val="12"/>
        <color theme="1"/>
        <rFont val="Century Gothic"/>
        <family val="2"/>
      </rPr>
      <t>Indicateurs</t>
    </r>
    <r>
      <rPr>
        <b/>
        <sz val="12"/>
        <color theme="1"/>
        <rFont val="Century Gothic"/>
        <family val="2"/>
      </rPr>
      <t> </t>
    </r>
    <r>
      <rPr>
        <b/>
        <i/>
        <sz val="12"/>
        <color theme="1"/>
        <rFont val="Century Gothic"/>
        <family val="2"/>
      </rPr>
      <t>industrie</t>
    </r>
    <r>
      <rPr>
        <b/>
        <sz val="12"/>
        <color theme="1"/>
        <rFont val="Arial"/>
        <family val="2"/>
      </rPr>
      <t>​</t>
    </r>
  </si>
  <si>
    <r>
      <t>Icommerce=∑Indicateurs commercen</t>
    </r>
    <r>
      <rPr>
        <b/>
        <i/>
        <sz val="12"/>
        <color theme="1"/>
        <rFont val="Century Gothic"/>
        <family val="2"/>
      </rPr>
      <t>Icommerce</t>
    </r>
    <r>
      <rPr>
        <b/>
        <sz val="12"/>
        <color theme="1"/>
        <rFont val="Arial"/>
        <family val="2"/>
      </rPr>
      <t>​</t>
    </r>
    <r>
      <rPr>
        <b/>
        <sz val="12"/>
        <color theme="1"/>
        <rFont val="Century Gothic"/>
        <family val="2"/>
      </rPr>
      <t>=</t>
    </r>
    <r>
      <rPr>
        <b/>
        <i/>
        <sz val="12"/>
        <color theme="1"/>
        <rFont val="Century Gothic"/>
        <family val="2"/>
      </rPr>
      <t>n</t>
    </r>
    <r>
      <rPr>
        <b/>
        <sz val="12"/>
        <color theme="1"/>
        <rFont val="Century Gothic"/>
        <family val="2"/>
      </rPr>
      <t>∑</t>
    </r>
    <r>
      <rPr>
        <b/>
        <i/>
        <sz val="12"/>
        <color theme="1"/>
        <rFont val="Century Gothic"/>
        <family val="2"/>
      </rPr>
      <t>Indicateurs</t>
    </r>
    <r>
      <rPr>
        <b/>
        <sz val="12"/>
        <color theme="1"/>
        <rFont val="Century Gothic"/>
        <family val="2"/>
      </rPr>
      <t> </t>
    </r>
    <r>
      <rPr>
        <b/>
        <i/>
        <sz val="12"/>
        <color theme="1"/>
        <rFont val="Century Gothic"/>
        <family val="2"/>
      </rPr>
      <t>commerce</t>
    </r>
    <r>
      <rPr>
        <b/>
        <sz val="12"/>
        <color theme="1"/>
        <rFont val="Arial"/>
        <family val="2"/>
      </rPr>
      <t>​</t>
    </r>
  </si>
  <si>
    <r>
      <t>🔷</t>
    </r>
    <r>
      <rPr>
        <b/>
        <sz val="12"/>
        <color theme="1"/>
        <rFont val="Century Gothic"/>
        <family val="2"/>
      </rPr>
      <t xml:space="preserve"> Étape 5 : Indice global (IBIC)</t>
    </r>
  </si>
  <si>
    <r>
      <t>IBIC=w1×Iindustrie+w2×Icommerce</t>
    </r>
    <r>
      <rPr>
        <b/>
        <i/>
        <sz val="12"/>
        <color theme="1"/>
        <rFont val="Century Gothic"/>
        <family val="2"/>
      </rPr>
      <t>IBIC</t>
    </r>
    <r>
      <rPr>
        <b/>
        <sz val="12"/>
        <color theme="1"/>
        <rFont val="Century Gothic"/>
        <family val="2"/>
      </rPr>
      <t>=</t>
    </r>
    <r>
      <rPr>
        <b/>
        <i/>
        <sz val="12"/>
        <color theme="1"/>
        <rFont val="Century Gothic"/>
        <family val="2"/>
      </rPr>
      <t>w</t>
    </r>
    <r>
      <rPr>
        <b/>
        <sz val="12"/>
        <color theme="1"/>
        <rFont val="Century Gothic"/>
        <family val="2"/>
      </rPr>
      <t>1</t>
    </r>
    <r>
      <rPr>
        <b/>
        <sz val="12"/>
        <color theme="1"/>
        <rFont val="Arial"/>
        <family val="2"/>
      </rPr>
      <t>​</t>
    </r>
    <r>
      <rPr>
        <b/>
        <sz val="12"/>
        <color theme="1"/>
        <rFont val="Century Gothic"/>
        <family val="2"/>
      </rPr>
      <t>×</t>
    </r>
    <r>
      <rPr>
        <b/>
        <i/>
        <sz val="12"/>
        <color theme="1"/>
        <rFont val="Century Gothic"/>
        <family val="2"/>
      </rPr>
      <t>Iindustrie</t>
    </r>
    <r>
      <rPr>
        <b/>
        <sz val="12"/>
        <color theme="1"/>
        <rFont val="Arial"/>
        <family val="2"/>
      </rPr>
      <t>​</t>
    </r>
    <r>
      <rPr>
        <b/>
        <sz val="12"/>
        <color theme="1"/>
        <rFont val="Century Gothic"/>
        <family val="2"/>
      </rPr>
      <t>+</t>
    </r>
    <r>
      <rPr>
        <b/>
        <i/>
        <sz val="12"/>
        <color theme="1"/>
        <rFont val="Century Gothic"/>
        <family val="2"/>
      </rPr>
      <t>w</t>
    </r>
    <r>
      <rPr>
        <b/>
        <sz val="12"/>
        <color theme="1"/>
        <rFont val="Century Gothic"/>
        <family val="2"/>
      </rPr>
      <t>2</t>
    </r>
    <r>
      <rPr>
        <b/>
        <sz val="12"/>
        <color theme="1"/>
        <rFont val="Arial"/>
        <family val="2"/>
      </rPr>
      <t>​</t>
    </r>
    <r>
      <rPr>
        <b/>
        <sz val="12"/>
        <color theme="1"/>
        <rFont val="Century Gothic"/>
        <family val="2"/>
      </rPr>
      <t>×</t>
    </r>
    <r>
      <rPr>
        <b/>
        <i/>
        <sz val="12"/>
        <color theme="1"/>
        <rFont val="Century Gothic"/>
        <family val="2"/>
      </rPr>
      <t>Icommerce</t>
    </r>
    <r>
      <rPr>
        <b/>
        <sz val="12"/>
        <color theme="1"/>
        <rFont val="Arial"/>
        <family val="2"/>
      </rPr>
      <t>​</t>
    </r>
  </si>
  <si>
    <t>3. SYSTÈME DE NOTATION DES INDICATEURS</t>
  </si>
  <si>
    <t>Transformer les indices en lecture simple pour décideurs.</t>
  </si>
  <si>
    <r>
      <t>🔷</t>
    </r>
    <r>
      <rPr>
        <b/>
        <sz val="12"/>
        <color theme="1"/>
        <rFont val="Century Gothic"/>
        <family val="2"/>
      </rPr>
      <t xml:space="preserve"> Échelle de notation (0 à 100)</t>
    </r>
  </si>
  <si>
    <t>Niveau</t>
  </si>
  <si>
    <t>🔴</t>
  </si>
  <si>
    <t>🟠</t>
  </si>
  <si>
    <t>🟡</t>
  </si>
  <si>
    <t>🟢</t>
  </si>
  <si>
    <r>
      <t>🟢</t>
    </r>
    <r>
      <rPr>
        <b/>
        <sz val="12"/>
        <color theme="1"/>
        <rFont val="Century Gothic"/>
        <family val="2"/>
      </rPr>
      <t xml:space="preserve"> foncé</t>
    </r>
  </si>
  <si>
    <r>
      <t>🔷</t>
    </r>
    <r>
      <rPr>
        <b/>
        <sz val="12"/>
        <color theme="1"/>
        <rFont val="Century Gothic"/>
        <family val="2"/>
      </rPr>
      <t xml:space="preserve"> Notation qualitative</t>
    </r>
  </si>
  <si>
    <t>&lt; 45</t>
  </si>
  <si>
    <t>Forte détérioration</t>
  </si>
  <si>
    <t>45–50</t>
  </si>
  <si>
    <t>Légère détérioration</t>
  </si>
  <si>
    <t>50–55</t>
  </si>
  <si>
    <t>Amélioration modérée</t>
  </si>
  <si>
    <t>&gt; 55</t>
  </si>
  <si>
    <t>Forte amélioration</t>
  </si>
  <si>
    <r>
      <t>🔷</t>
    </r>
    <r>
      <rPr>
        <b/>
        <sz val="12"/>
        <color theme="1"/>
        <rFont val="Century Gothic"/>
        <family val="2"/>
      </rPr>
      <t xml:space="preserve"> Notation des contraintes</t>
    </r>
  </si>
  <si>
    <t>Échelle inversée (car contrainte = négatif)</t>
  </si>
  <si>
    <t>Score contrainte</t>
  </si>
  <si>
    <t>Élevée</t>
  </si>
  <si>
    <t>Très élevée</t>
  </si>
  <si>
    <t>Conversion possible :</t>
  </si>
  <si>
    <t>Score = 100 - (valeur_contrainte × 25)</t>
  </si>
  <si>
    <r>
      <t>🔷</t>
    </r>
    <r>
      <rPr>
        <b/>
        <sz val="12"/>
        <color theme="1"/>
        <rFont val="Century Gothic"/>
        <family val="2"/>
      </rPr>
      <t xml:space="preserve"> Notation des perspectives</t>
    </r>
  </si>
  <si>
    <t>Réponses</t>
  </si>
  <si>
    <t>Optimiste</t>
  </si>
  <si>
    <t>Pessimiste</t>
  </si>
  <si>
    <t>4. SYNTHÈSE DU SYSTÈME COMPLET</t>
  </si>
  <si>
    <t>Questionnaire</t>
  </si>
  <si>
    <t xml:space="preserve">   ↓</t>
  </si>
  <si>
    <t>Codification (Hausse/Stable/Baisse)</t>
  </si>
  <si>
    <t>Indice de diffusion</t>
  </si>
  <si>
    <t>Indices par indicateur</t>
  </si>
  <si>
    <t>Notation (0–100)</t>
  </si>
  <si>
    <t>Analyse &amp; rapport</t>
  </si>
  <si>
    <t>5. CE QUE CE SYSTÈME PERMET</t>
  </si>
  <si>
    <r>
      <t>✔</t>
    </r>
    <r>
      <rPr>
        <b/>
        <sz val="12"/>
        <color theme="1"/>
        <rFont val="Century Gothic"/>
        <family val="2"/>
      </rPr>
      <t xml:space="preserve"> Mesurer la conjoncture en temps réel</t>
    </r>
  </si>
  <si>
    <r>
      <t>✔</t>
    </r>
    <r>
      <rPr>
        <b/>
        <sz val="12"/>
        <color theme="1"/>
        <rFont val="Century Gothic"/>
        <family val="2"/>
      </rPr>
      <t xml:space="preserve"> Comparer les trimestres</t>
    </r>
  </si>
  <si>
    <r>
      <t>✔</t>
    </r>
    <r>
      <rPr>
        <b/>
        <sz val="12"/>
        <color theme="1"/>
        <rFont val="Century Gothic"/>
        <family val="2"/>
      </rPr>
      <t xml:space="preserve"> Alimenter le tableau de bord</t>
    </r>
  </si>
  <si>
    <r>
      <t>✔</t>
    </r>
    <r>
      <rPr>
        <b/>
        <sz val="12"/>
        <color theme="1"/>
        <rFont val="Century Gothic"/>
        <family val="2"/>
      </rPr>
      <t xml:space="preserve"> Générer automatiquement les rapports</t>
    </r>
  </si>
  <si>
    <r>
      <t>✔</t>
    </r>
    <r>
      <rPr>
        <b/>
        <sz val="12"/>
        <color theme="1"/>
        <rFont val="Century Gothic"/>
        <family val="2"/>
      </rPr>
      <t xml:space="preserve"> Aider à la décision publique</t>
    </r>
  </si>
  <si>
    <r>
      <t>✔</t>
    </r>
    <r>
      <rPr>
        <b/>
        <sz val="12"/>
        <color theme="1"/>
        <rFont val="Century Gothic"/>
        <family val="2"/>
      </rPr>
      <t xml:space="preserve"> Suivre la compétitivité du pays</t>
    </r>
  </si>
  <si>
    <t>Avec ces trois éléments :</t>
  </si>
  <si>
    <t>Questionnaire structuré</t>
  </si>
  <si>
    <t>Méthode robuste (indices de diffusion)</t>
  </si>
  <si>
    <t>Système de notation clair</t>
  </si>
  <si>
    <r>
      <t>➡</t>
    </r>
    <r>
      <rPr>
        <b/>
        <sz val="12"/>
        <color theme="1"/>
        <rFont val="Century Gothic"/>
        <family val="2"/>
      </rPr>
      <t>️ Tu disposes d’un baromètre économique complet, standard international et adapté à la Guinée.</t>
    </r>
  </si>
  <si>
    <t>un fichier Kobo/ODK prêt à importer</t>
  </si>
  <si>
    <t>ou un modèle Excel automatisé qui calcule directement tous les indices</t>
  </si>
  <si>
    <t>Je préfère cette réponse</t>
  </si>
  <si>
    <t>ChatGPT</t>
  </si>
  <si>
    <t>Réponse 2</t>
  </si>
  <si>
    <t>Voici un pack méthodologique complet pour le</t>
  </si>
  <si>
    <t>Baromètre Industrie et Commerce – Guinée comprenant :</t>
  </si>
  <si>
    <t>Questionnaire d’enquête entreprises</t>
  </si>
  <si>
    <t>Méthodologie de calcul de l’indice du baromètre</t>
  </si>
  <si>
    <t>Système de notation des indicateurs</t>
  </si>
  <si>
    <t>Ce document peut servir de méthodologie officielle du baromètre.</t>
  </si>
  <si>
    <t>1. QUESTIONNAIRE D’ENQUÊTE ENTREPRISES</t>
  </si>
  <si>
    <t>Baromètre Industrie et Commerce – Enquête trimestrielle</t>
  </si>
  <si>
    <t>SECTION A – Identification</t>
  </si>
  <si>
    <t>1. Région</t>
  </si>
  <si>
    <t>2. Secteur : Industrie / Commerce</t>
  </si>
  <si>
    <t>3. Sous-secteur d’activité</t>
  </si>
  <si>
    <t>4. Taille de l’entreprise :</t>
  </si>
  <si>
    <t>Très petite (1–10)</t>
  </si>
  <si>
    <t>Petite (11–50)</t>
  </si>
  <si>
    <t>Moyenne (51–100)</t>
  </si>
  <si>
    <t>Grande (100+)</t>
  </si>
  <si>
    <t>5. Nombre d’employés</t>
  </si>
  <si>
    <t>6. Chiffre d’affaires annuel (optionnel)</t>
  </si>
  <si>
    <t>SECTION B – Évolution de l’activité (par rapport au trimestre précédent)</t>
  </si>
  <si>
    <t>Indiquer : Hausse / Stable / Baisse</t>
  </si>
  <si>
    <t>SECTION C – Contraintes rencontrées</t>
  </si>
  <si>
    <t>Niveau de contrainte :</t>
  </si>
  <si>
    <t>SECTION D – Perspectives (prochain trimestre)</t>
  </si>
  <si>
    <t>SECTION E – Appréciation générale</t>
  </si>
  <si>
    <t>1. Situation économique actuelle :</t>
  </si>
  <si>
    <t>2. Climat des affaires :</t>
  </si>
  <si>
    <t>Le baromètre utilise la méthode des indices de diffusion (méthode utilisée dans les baromètres économiques).</t>
  </si>
  <si>
    <t>Étape 1 – Calcul des pourcentages</t>
  </si>
  <si>
    <t>% Hausse</t>
  </si>
  <si>
    <t>% Stable</t>
  </si>
  <si>
    <t>% Baisse</t>
  </si>
  <si>
    <t>Étape 2 – Calcul de l’indice de diffusion</t>
  </si>
  <si>
    <t>Indice = 30 + (0,5 × 40)</t>
  </si>
  <si>
    <t>Indice = 30 + 20</t>
  </si>
  <si>
    <t>Indice = 50</t>
  </si>
  <si>
    <t>Indice = 50 → Situation stable</t>
  </si>
  <si>
    <t>Moyenne des indices :</t>
  </si>
  <si>
    <t>4. INDICE GLOBAL DU BAROMÈTRE</t>
  </si>
  <si>
    <t>Indice Global = (Indice Industrie × Poids Industrie)</t>
  </si>
  <si>
    <t xml:space="preserve">              + (Indice Commerce × Poids Commerce)</t>
  </si>
  <si>
    <t>Exemple pondération :</t>
  </si>
  <si>
    <t>Industrie = 40 %</t>
  </si>
  <si>
    <t>Commerce = 60 %</t>
  </si>
  <si>
    <t>5. SYSTÈME DE NOTATION DES INDICATEURS</t>
  </si>
  <si>
    <t>Pour transformer les réponses en score.</t>
  </si>
  <si>
    <t>Notation Hausse / Stable / Baisse</t>
  </si>
  <si>
    <t>Notation contraintes</t>
  </si>
  <si>
    <t>Niveau contrainte</t>
  </si>
  <si>
    <t>Notation appréciation générale</t>
  </si>
  <si>
    <t>Appréciation</t>
  </si>
  <si>
    <t>6. ÉCHELLE D’INTERPRÉTATION DES INDICES</t>
  </si>
  <si>
    <t>Mauvaise situation</t>
  </si>
  <si>
    <t>Situation défavorable</t>
  </si>
  <si>
    <t>Situation favorable</t>
  </si>
  <si>
    <t>7. STRUCTURE DU SYSTÈME DU BAROMÈTRE</t>
  </si>
  <si>
    <t>Le fonctionnement complet :</t>
  </si>
  <si>
    <t>Collecte données</t>
  </si>
  <si>
    <t>Publication plateforme</t>
  </si>
  <si>
    <t>8. INDICATEURS À UTILISER DANS LE BAROMÈTRE</t>
  </si>
  <si>
    <t>2. Méthodologie de calcul</t>
  </si>
  <si>
    <t>3. Système de notation</t>
  </si>
  <si>
    <r>
      <t>➡</t>
    </r>
    <r>
      <rPr>
        <b/>
        <sz val="12"/>
        <color theme="1"/>
        <rFont val="Century Gothic"/>
        <family val="2"/>
      </rPr>
      <t>️ Vous avez la méthodologie complète pour construire un Baromètre Industrie et Commerce national.</t>
    </r>
  </si>
  <si>
    <t>Haut du formulaire</t>
  </si>
  <si>
    <t>Bas du formulaire</t>
  </si>
  <si>
    <t>Voici une proposition complète et professionnelle pour le</t>
  </si>
  <si>
    <t>Baromètre Industrie et Commerce – Guinée (ONCP) comprenant :</t>
  </si>
  <si>
    <t>Le baromètre repose sur des enquêtes de conjoncture auprès des entreprises.</t>
  </si>
  <si>
    <t>On transforme ces réponses en indices de diffusion.</t>
  </si>
  <si>
    <t>Pour que le Baromètre Industrie et Commerce Guinée fonctionne, il faut :</t>
  </si>
  <si>
    <r>
      <t>➡</t>
    </r>
    <r>
      <rPr>
        <b/>
        <sz val="12"/>
        <color theme="1"/>
        <rFont val="Century Gothic"/>
        <family val="2"/>
      </rPr>
      <t>️ Avec tout ce que nous avons construit, vous avez maintenant l’architecture complète d’un baromètre national.</t>
    </r>
  </si>
  <si>
    <r>
      <t xml:space="preserve">Ce questionnaire est conçu pour une </t>
    </r>
    <r>
      <rPr>
        <b/>
        <sz val="12"/>
        <color theme="1"/>
        <rFont val="Century Gothic"/>
        <family val="2"/>
      </rPr>
      <t>enquête trimestrielle de conjoncture</t>
    </r>
    <r>
      <rPr>
        <sz val="12"/>
        <color theme="1"/>
        <rFont val="Century Gothic"/>
        <family val="2"/>
      </rPr>
      <t xml:space="preserve"> auprès des entreprises industrielles et commerciales.</t>
    </r>
  </si>
  <si>
    <r>
      <t xml:space="preserve">la </t>
    </r>
    <r>
      <rPr>
        <b/>
        <sz val="12"/>
        <color theme="1"/>
        <rFont val="Century Gothic"/>
        <family val="2"/>
      </rPr>
      <t>méthodologie de calcul de l’indice du baromètre</t>
    </r>
  </si>
  <si>
    <r>
      <t xml:space="preserve">le </t>
    </r>
    <r>
      <rPr>
        <b/>
        <sz val="12"/>
        <color theme="1"/>
        <rFont val="Century Gothic"/>
        <family val="2"/>
      </rPr>
      <t>système de pondération</t>
    </r>
  </si>
  <si>
    <r>
      <t xml:space="preserve">le </t>
    </r>
    <r>
      <rPr>
        <b/>
        <sz val="12"/>
        <color theme="1"/>
        <rFont val="Century Gothic"/>
        <family val="2"/>
      </rPr>
      <t>modèle d’analyse trimestrielle</t>
    </r>
  </si>
  <si>
    <r>
      <t xml:space="preserve">Voici une </t>
    </r>
    <r>
      <rPr>
        <b/>
        <sz val="12"/>
        <color theme="1"/>
        <rFont val="Century Gothic"/>
        <family val="2"/>
      </rPr>
      <t>proposition opérationnelle</t>
    </r>
    <r>
      <rPr>
        <sz val="12"/>
        <color theme="1"/>
        <rFont val="Century Gothic"/>
        <family val="2"/>
      </rPr>
      <t xml:space="preserve"> de construction du baromètre </t>
    </r>
    <r>
      <rPr>
        <sz val="12"/>
        <color theme="1"/>
        <rFont val="Segoe UI Emoji"/>
        <family val="2"/>
      </rPr>
      <t>📊</t>
    </r>
    <r>
      <rPr>
        <sz val="12"/>
        <color theme="1"/>
        <rFont val="Century Gothic"/>
        <family val="2"/>
      </rPr>
      <t xml:space="preserve">, conçue pour être </t>
    </r>
    <r>
      <rPr>
        <b/>
        <sz val="12"/>
        <color theme="1"/>
        <rFont val="Century Gothic"/>
        <family val="2"/>
      </rPr>
      <t>robuste, lisible et défendable</t>
    </r>
    <r>
      <rPr>
        <sz val="12"/>
        <color theme="1"/>
        <rFont val="Century Gothic"/>
        <family val="2"/>
      </rPr>
      <t>.</t>
    </r>
  </si>
  <si>
    <t>1) Méthodologie de calcul de l’indice du baromètre</t>
  </si>
  <si>
    <t>A. Structure du baromètre</t>
  </si>
  <si>
    <t>Le baromètre repose sur 3 niveaux :</t>
  </si>
  <si>
    <t>1. Dimensions</t>
  </si>
  <si>
    <t>Ex. : performance, conformité, satisfaction, risque, qualité, délai.</t>
  </si>
  <si>
    <r>
      <t>2. Indicateurs</t>
    </r>
    <r>
      <rPr>
        <sz val="12"/>
        <color theme="1"/>
        <rFont val="Century Gothic"/>
        <family val="2"/>
      </rPr>
      <t xml:space="preserve"> par dimension</t>
    </r>
  </si>
  <si>
    <t>Ex. : taux de conformité, délai moyen de traitement, taux de réclamation, NPS, taux d’erreur, etc.</t>
  </si>
  <si>
    <t>3. Indice global</t>
  </si>
  <si>
    <r>
      <t xml:space="preserve">Synthèse consolidée sur une échelle commune, idéalement </t>
    </r>
    <r>
      <rPr>
        <b/>
        <sz val="12"/>
        <color theme="1"/>
        <rFont val="Century Gothic"/>
        <family val="2"/>
      </rPr>
      <t>0 à 100</t>
    </r>
    <r>
      <rPr>
        <sz val="12"/>
        <color theme="1"/>
        <rFont val="Century Gothic"/>
        <family val="2"/>
      </rPr>
      <t>.</t>
    </r>
  </si>
  <si>
    <t>B. Étapes de calcul</t>
  </si>
  <si>
    <t>Étape 1 — Sélection des indicateurs</t>
  </si>
  <si>
    <t>Chaque indicateur doit répondre à 4 critères :</t>
  </si>
  <si>
    <t>pertinence stratégique ;</t>
  </si>
  <si>
    <t>fiabilité de la donnée ;</t>
  </si>
  <si>
    <t>fréquence de mise à jour ;</t>
  </si>
  <si>
    <t>capacité d’action.</t>
  </si>
  <si>
    <t>Il faut limiter le baromètre à des indicateurs :</t>
  </si>
  <si>
    <r>
      <t>stables dans le temps</t>
    </r>
    <r>
      <rPr>
        <sz val="12"/>
        <color theme="1"/>
        <rFont val="Century Gothic"/>
        <family val="2"/>
      </rPr>
      <t xml:space="preserve"> ;</t>
    </r>
  </si>
  <si>
    <r>
      <t>comparables d’un trimestre à l’autre</t>
    </r>
    <r>
      <rPr>
        <sz val="12"/>
        <color theme="1"/>
        <rFont val="Century Gothic"/>
        <family val="2"/>
      </rPr>
      <t xml:space="preserve"> ;</t>
    </r>
  </si>
  <si>
    <r>
      <t>pilotables</t>
    </r>
    <r>
      <rPr>
        <sz val="12"/>
        <color theme="1"/>
        <rFont val="Century Gothic"/>
        <family val="2"/>
      </rPr>
      <t xml:space="preserve"> par l’organisation.</t>
    </r>
  </si>
  <si>
    <t>Étape 2 — Normalisation des indicateurs</t>
  </si>
  <si>
    <t>Comme les indicateurs n’ont pas les mêmes unités, ils doivent être convertis sur une même échelle.</t>
  </si>
  <si>
    <t>Option recommandée : score sur 100</t>
  </si>
  <si>
    <t>a) Pour un indicateur où plus la valeur est élevée, mieux c’est</t>
  </si>
  <si>
    <t>[</t>
  </si>
  <si>
    <t>Score_i = 100 \times \frac{X_i - X_{min}}{X_{max} - X_{min}}</t>
  </si>
  <si>
    <t>]</t>
  </si>
  <si>
    <t>b) Pour un indicateur où plus la valeur est faible, mieux c’est</t>
  </si>
  <si>
    <t>Score_i = 100 \times \frac{X_{max} - X_i}{X_{max} - X_{min}}</t>
  </si>
  <si>
    <t>Avec :</t>
  </si>
  <si>
    <t>(X_i) = valeur observée ;</t>
  </si>
  <si>
    <t>(X_{min}) = seuil plancher ;</t>
  </si>
  <si>
    <t>(X_{max}) = cible ou seuil plafond.</t>
  </si>
  <si>
    <r>
      <t>👉</t>
    </r>
    <r>
      <rPr>
        <sz val="12"/>
        <color theme="1"/>
        <rFont val="Century Gothic"/>
        <family val="2"/>
      </rPr>
      <t xml:space="preserve"> Pour éviter les effets de distorsion, il faut fixer des </t>
    </r>
    <r>
      <rPr>
        <b/>
        <sz val="12"/>
        <color theme="1"/>
        <rFont val="Century Gothic"/>
        <family val="2"/>
      </rPr>
      <t>bornes de référence stables</t>
    </r>
    <r>
      <rPr>
        <sz val="12"/>
        <color theme="1"/>
        <rFont val="Century Gothic"/>
        <family val="2"/>
      </rPr>
      <t xml:space="preserve"> en amont : historique, cible budgétaire, benchmark interne ou norme métier.</t>
    </r>
  </si>
  <si>
    <t>Étape 3 — Calcul du score de chaque dimension</t>
  </si>
  <si>
    <t>Pour chaque dimension (d) :</t>
  </si>
  <si>
    <t>Score_d = \sum_{i=1}^{n} w_i \times Score_i</t>
  </si>
  <si>
    <t>avec :</t>
  </si>
  <si>
    <t>(w_i) = poids de l’indicateur dans la dimension ;</t>
  </si>
  <si>
    <t>(\sum w_i = 1).</t>
  </si>
  <si>
    <t>Étape 4 — Calcul de l’indice global du baromètre</t>
  </si>
  <si>
    <t>Indice\ global = \sum_{d=1}^{m} W_d \times Score_d</t>
  </si>
  <si>
    <t>(W_d) = poids de chaque dimension ;</t>
  </si>
  <si>
    <t>(\sum W_d = 1).</t>
  </si>
  <si>
    <r>
      <t xml:space="preserve">Le résultat final est un </t>
    </r>
    <r>
      <rPr>
        <b/>
        <sz val="12"/>
        <color theme="1"/>
        <rFont val="Century Gothic"/>
        <family val="2"/>
      </rPr>
      <t>indice unique sur 100</t>
    </r>
    <r>
      <rPr>
        <sz val="12"/>
        <color theme="1"/>
        <rFont val="Century Gothic"/>
        <family val="2"/>
      </rPr>
      <t>.</t>
    </r>
  </si>
  <si>
    <t>C. Lecture de l’indice</t>
  </si>
  <si>
    <t>Je recommande une grille simple :</t>
  </si>
  <si>
    <r>
      <t>80 à 100</t>
    </r>
    <r>
      <rPr>
        <sz val="12"/>
        <color theme="1"/>
        <rFont val="Century Gothic"/>
        <family val="2"/>
      </rPr>
      <t xml:space="preserve"> : zone verte — performance maîtrisée</t>
    </r>
  </si>
  <si>
    <r>
      <t>65 à 79</t>
    </r>
    <r>
      <rPr>
        <sz val="12"/>
        <color theme="1"/>
        <rFont val="Century Gothic"/>
        <family val="2"/>
      </rPr>
      <t xml:space="preserve"> : zone jaune — vigilance</t>
    </r>
  </si>
  <si>
    <r>
      <t>50 à 64</t>
    </r>
    <r>
      <rPr>
        <sz val="12"/>
        <color theme="1"/>
        <rFont val="Century Gothic"/>
        <family val="2"/>
      </rPr>
      <t xml:space="preserve"> : zone orange — fragilité</t>
    </r>
  </si>
  <si>
    <r>
      <t>&lt; 50</t>
    </r>
    <r>
      <rPr>
        <sz val="12"/>
        <color theme="1"/>
        <rFont val="Century Gothic"/>
        <family val="2"/>
      </rPr>
      <t xml:space="preserve"> : zone rouge — action prioritaire</t>
    </r>
  </si>
  <si>
    <t>2) Système de pondération</t>
  </si>
  <si>
    <r>
      <t xml:space="preserve">Il faut éviter une pondération arbitraire. Le plus défendable est un système mixte : </t>
    </r>
    <r>
      <rPr>
        <b/>
        <sz val="12"/>
        <color theme="1"/>
        <rFont val="Century Gothic"/>
        <family val="2"/>
      </rPr>
      <t>pondération stratégique + pondération technique</t>
    </r>
    <r>
      <rPr>
        <sz val="12"/>
        <color theme="1"/>
        <rFont val="Century Gothic"/>
        <family val="2"/>
      </rPr>
      <t>.</t>
    </r>
  </si>
  <si>
    <t>A. Pondération des dimensions</t>
  </si>
  <si>
    <t>Exemple de logique :</t>
  </si>
  <si>
    <r>
      <t>Impact stratégique</t>
    </r>
    <r>
      <rPr>
        <sz val="12"/>
        <color theme="1"/>
        <rFont val="Century Gothic"/>
        <family val="2"/>
      </rPr>
      <t xml:space="preserve"> : 50 %</t>
    </r>
  </si>
  <si>
    <r>
      <t>Exposition au risque</t>
    </r>
    <r>
      <rPr>
        <sz val="12"/>
        <color theme="1"/>
        <rFont val="Century Gothic"/>
        <family val="2"/>
      </rPr>
      <t xml:space="preserve"> : 30 %</t>
    </r>
  </si>
  <si>
    <r>
      <t>Sensibilité réputation / conformité</t>
    </r>
    <r>
      <rPr>
        <sz val="12"/>
        <color theme="1"/>
        <rFont val="Century Gothic"/>
        <family val="2"/>
      </rPr>
      <t xml:space="preserve"> : 20 %</t>
    </r>
  </si>
  <si>
    <t>Pour chaque dimension, on attribue une note de 1 à 5 sur ces 3 critères.</t>
  </si>
  <si>
    <t>Formule de score brut de pondération</t>
  </si>
  <si>
    <t>P_d = (0,5 \times Impact) + (0,3 \times Risque) + (0,2 \times Sensibilité)</t>
  </si>
  <si>
    <t>Puis on normalise :</t>
  </si>
  <si>
    <t>W_d = \frac{P_d}{\sum P_d}</t>
  </si>
  <si>
    <t>B. Pondération des indicateurs à l’intérieur d’une dimension</t>
  </si>
  <si>
    <t>Même logique, avec 3 critères plus opérationnels :</t>
  </si>
  <si>
    <r>
      <t>importance métier</t>
    </r>
    <r>
      <rPr>
        <sz val="12"/>
        <color theme="1"/>
        <rFont val="Century Gothic"/>
        <family val="2"/>
      </rPr>
      <t xml:space="preserve"> ;</t>
    </r>
  </si>
  <si>
    <r>
      <t>fiabilité de la donnée</t>
    </r>
    <r>
      <rPr>
        <sz val="12"/>
        <color theme="1"/>
        <rFont val="Century Gothic"/>
        <family val="2"/>
      </rPr>
      <t xml:space="preserve"> ;</t>
    </r>
  </si>
  <si>
    <r>
      <t>capacité à expliquer les évolutions du baromètre</t>
    </r>
    <r>
      <rPr>
        <sz val="12"/>
        <color theme="1"/>
        <rFont val="Century Gothic"/>
        <family val="2"/>
      </rPr>
      <t>.</t>
    </r>
  </si>
  <si>
    <t>Exemple :</t>
  </si>
  <si>
    <t>P_i = (0,5 \times Importance) + (0,3 \times Fiabilité) + (0,2 \times Pouvoir\ explicatif)</t>
  </si>
  <si>
    <t>Puis :</t>
  </si>
  <si>
    <t>w_i = \frac{P_i}{\sum P_i}</t>
  </si>
  <si>
    <t>C. Règles de gouvernance de la pondération</t>
  </si>
  <si>
    <t>Pour garantir la cohérence :</t>
  </si>
  <si>
    <t>les poids ne doivent pas changer chaque trimestre ;</t>
  </si>
  <si>
    <r>
      <t xml:space="preserve">une révision des pondérations doit être faite </t>
    </r>
    <r>
      <rPr>
        <b/>
        <sz val="12"/>
        <color theme="1"/>
        <rFont val="Century Gothic"/>
        <family val="2"/>
      </rPr>
      <t>1 fois par an</t>
    </r>
    <r>
      <rPr>
        <sz val="12"/>
        <color theme="1"/>
        <rFont val="Century Gothic"/>
        <family val="2"/>
      </rPr>
      <t xml:space="preserve"> ;</t>
    </r>
  </si>
  <si>
    <t>toute modification doit être documentée ;</t>
  </si>
  <si>
    <t>les pondérations doivent être validées par un comité métier / direction.</t>
  </si>
  <si>
    <t>D. Exemple simple de pondération</t>
  </si>
  <si>
    <t>Supposons 4 dimensions :</t>
  </si>
  <si>
    <r>
      <t xml:space="preserve">Conformité : </t>
    </r>
    <r>
      <rPr>
        <b/>
        <sz val="12"/>
        <color theme="1"/>
        <rFont val="Century Gothic"/>
        <family val="2"/>
      </rPr>
      <t>35 %</t>
    </r>
  </si>
  <si>
    <r>
      <t xml:space="preserve">Performance opérationnelle : </t>
    </r>
    <r>
      <rPr>
        <b/>
        <sz val="12"/>
        <color theme="1"/>
        <rFont val="Century Gothic"/>
        <family val="2"/>
      </rPr>
      <t>30 %</t>
    </r>
  </si>
  <si>
    <r>
      <t xml:space="preserve">Satisfaction / perception : </t>
    </r>
    <r>
      <rPr>
        <b/>
        <sz val="12"/>
        <color theme="1"/>
        <rFont val="Century Gothic"/>
        <family val="2"/>
      </rPr>
      <t>20 %</t>
    </r>
  </si>
  <si>
    <r>
      <t xml:space="preserve">Risque / incidents : </t>
    </r>
    <r>
      <rPr>
        <b/>
        <sz val="12"/>
        <color theme="1"/>
        <rFont val="Century Gothic"/>
        <family val="2"/>
      </rPr>
      <t>15 %</t>
    </r>
  </si>
  <si>
    <t>Exemple dans la dimension “Conformité” :</t>
  </si>
  <si>
    <r>
      <t xml:space="preserve">Taux de conformité documentaire : </t>
    </r>
    <r>
      <rPr>
        <b/>
        <sz val="12"/>
        <color theme="1"/>
        <rFont val="Century Gothic"/>
        <family val="2"/>
      </rPr>
      <t>40 %</t>
    </r>
  </si>
  <si>
    <r>
      <t xml:space="preserve">Respect des délais réglementaires : </t>
    </r>
    <r>
      <rPr>
        <b/>
        <sz val="12"/>
        <color theme="1"/>
        <rFont val="Century Gothic"/>
        <family val="2"/>
      </rPr>
      <t>35 %</t>
    </r>
  </si>
  <si>
    <r>
      <t xml:space="preserve">Taux d’anomalies : </t>
    </r>
    <r>
      <rPr>
        <b/>
        <sz val="12"/>
        <color theme="1"/>
        <rFont val="Century Gothic"/>
        <family val="2"/>
      </rPr>
      <t>25 %</t>
    </r>
  </si>
  <si>
    <t>3) Modèle d’analyse trimestrielle</t>
  </si>
  <si>
    <t>Le modèle trimestriel doit répondre à 3 questions :</t>
  </si>
  <si>
    <t>1. Quel est le niveau atteint ?</t>
  </si>
  <si>
    <t>2. Quelle est l’évolution ?</t>
  </si>
  <si>
    <t>3. Quels sont les facteurs explicatifs et les actions correctrices ?</t>
  </si>
  <si>
    <t>A. Structure recommandée du reporting trimestriel</t>
  </si>
  <si>
    <t>1. Synthèse exécutive</t>
  </si>
  <si>
    <t>indice global du trimestre ;</t>
  </si>
  <si>
    <t>évolution vs trimestre précédent ;</t>
  </si>
  <si>
    <t>évolution vs même trimestre N-1 ;</t>
  </si>
  <si>
    <t>3 faits saillants ;</t>
  </si>
  <si>
    <t>3 points d’alerte.</t>
  </si>
  <si>
    <t>2. Analyse du score global</t>
  </si>
  <si>
    <t>Présenter :</t>
  </si>
  <si>
    <t>score T ;</t>
  </si>
  <si>
    <t>score T-1 ;</t>
  </si>
  <si>
    <t>variation absolue ;</t>
  </si>
  <si>
    <t>variation en % ;</t>
  </si>
  <si>
    <t>positionnement par couleur.</t>
  </si>
  <si>
    <t>\Delta trimestriel = Indice_T - Indice_{T-1}</t>
  </si>
  <si>
    <t>\Delta annuel = Indice_T - Indice_{T-4}</t>
  </si>
  <si>
    <t>3. Analyse par dimension</t>
  </si>
  <si>
    <t>Pour chaque dimension :</t>
  </si>
  <si>
    <t>score du trimestre ;</t>
  </si>
  <si>
    <t>évolution ;</t>
  </si>
  <si>
    <t>contribution à la hausse / baisse du score global ;</t>
  </si>
  <si>
    <t>indicateurs moteurs.</t>
  </si>
  <si>
    <t>Formule de contribution à l’évolution globale</t>
  </si>
  <si>
    <t>Contribution_d = W_d \times (Score_{d,T} - Score_{d,T-1})</t>
  </si>
  <si>
    <r>
      <t xml:space="preserve">Cela permet d’identifier </t>
    </r>
    <r>
      <rPr>
        <b/>
        <sz val="12"/>
        <color theme="1"/>
        <rFont val="Century Gothic"/>
        <family val="2"/>
      </rPr>
      <t>ce qui fait réellement bouger le baromètre</t>
    </r>
    <r>
      <rPr>
        <sz val="12"/>
        <color theme="1"/>
        <rFont val="Century Gothic"/>
        <family val="2"/>
      </rPr>
      <t>.</t>
    </r>
  </si>
  <si>
    <t>4. Analyse des causes</t>
  </si>
  <si>
    <t>L’analyse doit distinguer :</t>
  </si>
  <si>
    <r>
      <t>effet volume</t>
    </r>
    <r>
      <rPr>
        <sz val="12"/>
        <color theme="1"/>
        <rFont val="Century Gothic"/>
        <family val="2"/>
      </rPr>
      <t xml:space="preserve"> ;</t>
    </r>
  </si>
  <si>
    <r>
      <t>effet qualité</t>
    </r>
    <r>
      <rPr>
        <sz val="12"/>
        <color theme="1"/>
        <rFont val="Century Gothic"/>
        <family val="2"/>
      </rPr>
      <t xml:space="preserve"> ;</t>
    </r>
  </si>
  <si>
    <r>
      <t>effet organisationnel</t>
    </r>
    <r>
      <rPr>
        <sz val="12"/>
        <color theme="1"/>
        <rFont val="Century Gothic"/>
        <family val="2"/>
      </rPr>
      <t xml:space="preserve"> ;</t>
    </r>
  </si>
  <si>
    <r>
      <t>effet conjoncturel / saisonnier</t>
    </r>
    <r>
      <rPr>
        <sz val="12"/>
        <color theme="1"/>
        <rFont val="Century Gothic"/>
        <family val="2"/>
      </rPr>
      <t>.</t>
    </r>
  </si>
  <si>
    <t>Très utile pour éviter les commentaires superficiels.</t>
  </si>
  <si>
    <t>5. Analyse par segment</t>
  </si>
  <si>
    <t>Selon le besoin :</t>
  </si>
  <si>
    <t>par zone géographique ;</t>
  </si>
  <si>
    <t>par entité ;</t>
  </si>
  <si>
    <t>par filiale ;</t>
  </si>
  <si>
    <t>par type de clientèle ;</t>
  </si>
  <si>
    <t>par catégorie de produit ;</t>
  </si>
  <si>
    <t>par canal.</t>
  </si>
  <si>
    <t>Objectif : repérer les écarts cachés derrière la moyenne.</t>
  </si>
  <si>
    <t>6. Plan d’action trimestriel</t>
  </si>
  <si>
    <t>Pour chaque alerte :</t>
  </si>
  <si>
    <t>problème observé ;</t>
  </si>
  <si>
    <t>cause probable ;</t>
  </si>
  <si>
    <t>action corrective ;</t>
  </si>
  <si>
    <t>responsable ;</t>
  </si>
  <si>
    <t>échéance ;</t>
  </si>
  <si>
    <t>indicateur de suivi.</t>
  </si>
  <si>
    <t>B. Tableau de bord trimestriel type</t>
  </si>
  <si>
    <t>Élément</t>
  </si>
  <si>
    <t>T</t>
  </si>
  <si>
    <t>T-1</t>
  </si>
  <si>
    <t>T-4</t>
  </si>
  <si>
    <t>Écart T/T-1</t>
  </si>
  <si>
    <t>Écart T/T-4</t>
  </si>
  <si>
    <t>Statut</t>
  </si>
  <si>
    <t>Conformité</t>
  </si>
  <si>
    <t>Performance</t>
  </si>
  <si>
    <t>Satisfaction</t>
  </si>
  <si>
    <t>Risque</t>
  </si>
  <si>
    <t>C. Règles d’interprétation trimestrielle</t>
  </si>
  <si>
    <t>Je recommande de combiner 4 lectures :</t>
  </si>
  <si>
    <r>
      <t>niveau absolu</t>
    </r>
    <r>
      <rPr>
        <sz val="12"/>
        <color theme="1"/>
        <rFont val="Century Gothic"/>
        <family val="2"/>
      </rPr>
      <t xml:space="preserve"> : score du trimestre ;</t>
    </r>
  </si>
  <si>
    <r>
      <t>tendance courte</t>
    </r>
    <r>
      <rPr>
        <sz val="12"/>
        <color theme="1"/>
        <rFont val="Century Gothic"/>
        <family val="2"/>
      </rPr>
      <t xml:space="preserve"> : T vs T-1 ;</t>
    </r>
  </si>
  <si>
    <r>
      <t>tendance annuelle</t>
    </r>
    <r>
      <rPr>
        <sz val="12"/>
        <color theme="1"/>
        <rFont val="Century Gothic"/>
        <family val="2"/>
      </rPr>
      <t xml:space="preserve"> : T vs T-4 ;</t>
    </r>
  </si>
  <si>
    <r>
      <t>volatilité</t>
    </r>
    <r>
      <rPr>
        <sz val="12"/>
        <color theme="1"/>
        <rFont val="Century Gothic"/>
        <family val="2"/>
      </rPr>
      <t xml:space="preserve"> : stabilité ou instabilité sur 4 trimestres.</t>
    </r>
  </si>
  <si>
    <t>Une bonne pratique consiste à classer chaque dimension selon 4 profils :</t>
  </si>
  <si>
    <r>
      <t>forte et stable</t>
    </r>
    <r>
      <rPr>
        <sz val="12"/>
        <color theme="1"/>
        <rFont val="Century Gothic"/>
        <family val="2"/>
      </rPr>
      <t xml:space="preserve"> ;</t>
    </r>
  </si>
  <si>
    <r>
      <t>forte mais en dégradation</t>
    </r>
    <r>
      <rPr>
        <sz val="12"/>
        <color theme="1"/>
        <rFont val="Century Gothic"/>
        <family val="2"/>
      </rPr>
      <t xml:space="preserve"> ;</t>
    </r>
  </si>
  <si>
    <r>
      <t>faible mais en redressement</t>
    </r>
    <r>
      <rPr>
        <sz val="12"/>
        <color theme="1"/>
        <rFont val="Century Gothic"/>
        <family val="2"/>
      </rPr>
      <t xml:space="preserve"> ;</t>
    </r>
  </si>
  <si>
    <r>
      <t>faible et dégradée</t>
    </r>
    <r>
      <rPr>
        <sz val="12"/>
        <color theme="1"/>
        <rFont val="Century Gothic"/>
        <family val="2"/>
      </rPr>
      <t>.</t>
    </r>
  </si>
  <si>
    <t>C’est plus utile au pilotage qu’un simple chiffre.</t>
  </si>
  <si>
    <t>4) Recommandation de modèle final</t>
  </si>
  <si>
    <t>Modèle recommandé</t>
  </si>
  <si>
    <t>Indice global sur 100</t>
  </si>
  <si>
    <t>3 à 6 dimensions</t>
  </si>
  <si>
    <t>3 à 5 indicateurs par dimension</t>
  </si>
  <si>
    <t>pondération stable sur l’année</t>
  </si>
  <si>
    <t>revue trimestrielle avec analyse des contributions</t>
  </si>
  <si>
    <t>révision méthodologique annuelle</t>
  </si>
  <si>
    <t>5) Formule consolidée finale</t>
  </si>
  <si>
    <t>Indice\ global = \sum_{d=1}^{m} W_d \times \left( \sum_{i=1}^{n} w_i \times Score_i \right)</t>
  </si>
  <si>
    <t>(Score_i) = indicateur normalisé sur 100 ;</t>
  </si>
  <si>
    <t>(w_i) = poids de l’indicateur ;</t>
  </si>
  <si>
    <t>(W_d) = poids de la dimension.</t>
  </si>
  <si>
    <t>6) Proposition prête à l’emploi</t>
  </si>
  <si>
    <t>Je vous conseille de retenir ce schéma :</t>
  </si>
  <si>
    <t>Méthodologie</t>
  </si>
  <si>
    <t>normalisation de tous les indicateurs sur 100 ;</t>
  </si>
  <si>
    <t>agrégation par dimension ;</t>
  </si>
  <si>
    <t>agrégation finale en indice unique.</t>
  </si>
  <si>
    <t>dimensions pondérées selon impact stratégique, risque, sensibilité ;</t>
  </si>
  <si>
    <t>indicateurs pondérés selon importance métier, fiabilité, pouvoir explicatif ;</t>
  </si>
  <si>
    <t>validation annuelle.</t>
  </si>
  <si>
    <t>score global ;</t>
  </si>
  <si>
    <t>comparaison T / T-1 / T-4 ;</t>
  </si>
  <si>
    <t>analyse par dimension ;</t>
  </si>
  <si>
    <t>contribution à l’évolution ;</t>
  </si>
  <si>
    <t>segmentation ;</t>
  </si>
  <si>
    <t>plan d’action.</t>
  </si>
  <si>
    <r>
      <t xml:space="preserve">Si vous le souhaitez, je peux maintenant vous fournir une </t>
    </r>
    <r>
      <rPr>
        <b/>
        <sz val="12"/>
        <color theme="1"/>
        <rFont val="Century Gothic"/>
        <family val="2"/>
      </rPr>
      <t>version formalisée en style note de cadrage ou document de gouvernance</t>
    </r>
    <r>
      <rPr>
        <sz val="12"/>
        <color theme="1"/>
        <rFont val="Century Gothic"/>
        <family val="2"/>
      </rPr>
      <t>, directement réutilisable.</t>
    </r>
  </si>
  <si>
    <r>
      <t xml:space="preserve">Voici un modèle formalisé de note de cadrage ou de document de gouvernance pour la </t>
    </r>
    <r>
      <rPr>
        <b/>
        <sz val="12"/>
        <color theme="1"/>
        <rFont val="Century Gothic"/>
        <family val="2"/>
      </rPr>
      <t>Plateforme Baromètre Industrie et Commerce de Guinée</t>
    </r>
    <r>
      <rPr>
        <sz val="12"/>
        <color theme="1"/>
        <rFont val="Century Gothic"/>
        <family val="2"/>
      </rPr>
      <t>. Ce document servira de référence pour la mise en place du baromètre, ainsi que pour sa gestion, son suivi et son amélioration continue.</t>
    </r>
  </si>
  <si>
    <t>Note de Cadrage / Document de Gouvernance</t>
  </si>
  <si>
    <t>Baromètre Industrie et Commerce de Guinée</t>
  </si>
  <si>
    <t>1. Contexte et Objectifs</t>
  </si>
  <si>
    <t>1.1 Contexte</t>
  </si>
  <si>
    <r>
      <t xml:space="preserve">Dans un environnement économique en constante évolution, la Guinée doit disposer d'outils fiables pour mesurer et piloter la performance de son secteur industriel et commercial. La création du </t>
    </r>
    <r>
      <rPr>
        <b/>
        <sz val="12"/>
        <color theme="1"/>
        <rFont val="Century Gothic"/>
        <family val="2"/>
      </rPr>
      <t>Baromètre Industrie et Commerce</t>
    </r>
    <r>
      <rPr>
        <sz val="12"/>
        <color theme="1"/>
        <rFont val="Century Gothic"/>
        <family val="2"/>
      </rPr>
      <t xml:space="preserve"> vise à fournir un instrument de suivi pour évaluer la compétitivité, la conformité, la satisfaction et les risques des acteurs économiques, tout en favorisant la prise de décision basée sur des données objectives et actualisées.</t>
    </r>
  </si>
  <si>
    <t>1.2 Objectifs du Baromètre</t>
  </si>
  <si>
    <r>
      <t xml:space="preserve">Le </t>
    </r>
    <r>
      <rPr>
        <b/>
        <sz val="12"/>
        <color theme="1"/>
        <rFont val="Century Gothic"/>
        <family val="2"/>
      </rPr>
      <t>Baromètre Industrie et Commerce de Guinée</t>
    </r>
    <r>
      <rPr>
        <sz val="12"/>
        <color theme="1"/>
        <rFont val="Century Gothic"/>
        <family val="2"/>
      </rPr>
      <t xml:space="preserve"> a pour objectifs principaux :</t>
    </r>
  </si>
  <si>
    <t>Fournir un indicateur synthétique de l’état du secteur industriel et commercial à l’échelle nationale.</t>
  </si>
  <si>
    <t>Identifier les tendances et évolutions des performances à travers une analyse trimestrielle.</t>
  </si>
  <si>
    <t>Orienter les politiques publiques et privées à travers une mesure transparente et robuste des variables-clés.</t>
  </si>
  <si>
    <t>Suivre l’impact des actions gouvernementales, réglementaires et commerciales.</t>
  </si>
  <si>
    <t>2. Méthodologie de Calcul de l’Indice</t>
  </si>
  <si>
    <t>2.1 Structure du Baromètre</t>
  </si>
  <si>
    <r>
      <t xml:space="preserve">Le Baromètre repose sur un indice global calculé à partir de plusieurs </t>
    </r>
    <r>
      <rPr>
        <b/>
        <sz val="12"/>
        <color theme="1"/>
        <rFont val="Century Gothic"/>
        <family val="2"/>
      </rPr>
      <t>dimensions</t>
    </r>
    <r>
      <rPr>
        <sz val="12"/>
        <color theme="1"/>
        <rFont val="Century Gothic"/>
        <family val="2"/>
      </rPr>
      <t xml:space="preserve"> représentatives du secteur industriel et commercial. Chaque dimension est constituée d’indicateurs spécifiques, et les scores obtenus sont agrégés pour obtenir un indice final.</t>
    </r>
  </si>
  <si>
    <r>
      <t>Dimensions principales</t>
    </r>
    <r>
      <rPr>
        <sz val="12"/>
        <color theme="1"/>
        <rFont val="Century Gothic"/>
        <family val="2"/>
      </rPr>
      <t xml:space="preserve"> :</t>
    </r>
  </si>
  <si>
    <r>
      <t>Performance</t>
    </r>
    <r>
      <rPr>
        <sz val="12"/>
        <color theme="1"/>
        <rFont val="Century Gothic"/>
        <family val="2"/>
      </rPr>
      <t xml:space="preserve"> : efficacité opérationnelle et compétitivité des acteurs.</t>
    </r>
  </si>
  <si>
    <r>
      <t>Conformité</t>
    </r>
    <r>
      <rPr>
        <sz val="12"/>
        <color theme="1"/>
        <rFont val="Century Gothic"/>
        <family val="2"/>
      </rPr>
      <t xml:space="preserve"> : respect des normes locales et internationales.</t>
    </r>
  </si>
  <si>
    <r>
      <t>Satisfaction des parties prenantes</t>
    </r>
    <r>
      <rPr>
        <sz val="12"/>
        <color theme="1"/>
        <rFont val="Century Gothic"/>
        <family val="2"/>
      </rPr>
      <t xml:space="preserve"> : clients, partenaires commerciaux et autres acteurs.</t>
    </r>
  </si>
  <si>
    <r>
      <t>Risque</t>
    </r>
    <r>
      <rPr>
        <sz val="12"/>
        <color theme="1"/>
        <rFont val="Century Gothic"/>
        <family val="2"/>
      </rPr>
      <t xml:space="preserve"> : exposition à des risques économiques, environnementaux et sociaux.</t>
    </r>
  </si>
  <si>
    <t>2.2 Calcul de l’Indice</t>
  </si>
  <si>
    <t>L’indice global est calculé comme suit :</t>
  </si>
  <si>
    <r>
      <t>1. Normalisation des Indicateurs</t>
    </r>
    <r>
      <rPr>
        <sz val="12"/>
        <color theme="1"/>
        <rFont val="Century Gothic"/>
        <family val="2"/>
      </rPr>
      <t xml:space="preserve"> : Chaque indicateur est converti sur une échelle de 0 à 100 pour garantir la comparabilité des résultats.</t>
    </r>
  </si>
  <si>
    <r>
      <t>2. Pondération des Indicateurs</t>
    </r>
    <r>
      <rPr>
        <sz val="12"/>
        <color theme="1"/>
        <rFont val="Century Gothic"/>
        <family val="2"/>
      </rPr>
      <t xml:space="preserve"> : Chaque indicateur se voit attribuer un poids en fonction de son importance stratégique et de sa fiabilité.</t>
    </r>
  </si>
  <si>
    <r>
      <t>3. Calcul du Score par Dimension</t>
    </r>
    <r>
      <rPr>
        <sz val="12"/>
        <color theme="1"/>
        <rFont val="Century Gothic"/>
        <family val="2"/>
      </rPr>
      <t xml:space="preserve"> : Le score d’une dimension est obtenu en combinant les scores des indicateurs qui la composent.</t>
    </r>
  </si>
  <si>
    <r>
      <t>4. Calcul de l’Indice Global</t>
    </r>
    <r>
      <rPr>
        <sz val="12"/>
        <color theme="1"/>
        <rFont val="Century Gothic"/>
        <family val="2"/>
      </rPr>
      <t xml:space="preserve"> : L’indice final est une moyenne pondérée des scores des différentes dimensions.</t>
    </r>
  </si>
  <si>
    <t>où :</t>
  </si>
  <si>
    <t>(Score_i) : score de chaque indicateur ;</t>
  </si>
  <si>
    <t>(w_i) : poids de l’indicateur ;</t>
  </si>
  <si>
    <t>(W_d) : poids de la dimension.</t>
  </si>
  <si>
    <t>3. Système de Pondération</t>
  </si>
  <si>
    <t>3.1 Pondération des Dimensions</t>
  </si>
  <si>
    <t>La pondération des dimensions est définie en fonction de leur importance stratégique pour le secteur industriel et commercial guinéen. Elle est revue annuellement pour s’adapter aux évolutions du contexte économique.</t>
  </si>
  <si>
    <t>Exemple de pondération des dimensions :</t>
  </si>
  <si>
    <r>
      <t>Performance</t>
    </r>
    <r>
      <rPr>
        <sz val="12"/>
        <color theme="1"/>
        <rFont val="Century Gothic"/>
        <family val="2"/>
      </rPr>
      <t xml:space="preserve"> : 40 %</t>
    </r>
  </si>
  <si>
    <r>
      <t>Conformité</t>
    </r>
    <r>
      <rPr>
        <sz val="12"/>
        <color theme="1"/>
        <rFont val="Century Gothic"/>
        <family val="2"/>
      </rPr>
      <t xml:space="preserve"> : 30 %</t>
    </r>
  </si>
  <si>
    <r>
      <t>Satisfaction</t>
    </r>
    <r>
      <rPr>
        <sz val="12"/>
        <color theme="1"/>
        <rFont val="Century Gothic"/>
        <family val="2"/>
      </rPr>
      <t xml:space="preserve"> : 20 %</t>
    </r>
  </si>
  <si>
    <r>
      <t>Risque</t>
    </r>
    <r>
      <rPr>
        <sz val="12"/>
        <color theme="1"/>
        <rFont val="Century Gothic"/>
        <family val="2"/>
      </rPr>
      <t xml:space="preserve"> : 10 %</t>
    </r>
  </si>
  <si>
    <t>3.2 Pondération des Indicateurs au sein des Dimensions</t>
  </si>
  <si>
    <r>
      <t xml:space="preserve">Chaque dimension comprend plusieurs indicateurs. Les poids des indicateurs au sein de chaque dimension sont attribués selon leur </t>
    </r>
    <r>
      <rPr>
        <b/>
        <sz val="12"/>
        <color theme="1"/>
        <rFont val="Century Gothic"/>
        <family val="2"/>
      </rPr>
      <t>impact sur la performance globale</t>
    </r>
    <r>
      <rPr>
        <sz val="12"/>
        <color theme="1"/>
        <rFont val="Century Gothic"/>
        <family val="2"/>
      </rPr>
      <t xml:space="preserve"> et leur </t>
    </r>
    <r>
      <rPr>
        <b/>
        <sz val="12"/>
        <color theme="1"/>
        <rFont val="Century Gothic"/>
        <family val="2"/>
      </rPr>
      <t>capacité à influencer les décisions stratégiques</t>
    </r>
    <r>
      <rPr>
        <sz val="12"/>
        <color theme="1"/>
        <rFont val="Century Gothic"/>
        <family val="2"/>
      </rPr>
      <t>.</t>
    </r>
  </si>
  <si>
    <r>
      <t xml:space="preserve">Exemple pour la dimension </t>
    </r>
    <r>
      <rPr>
        <b/>
        <sz val="12"/>
        <color theme="1"/>
        <rFont val="Century Gothic"/>
        <family val="2"/>
      </rPr>
      <t>Performance</t>
    </r>
    <r>
      <rPr>
        <sz val="12"/>
        <color theme="1"/>
        <rFont val="Century Gothic"/>
        <family val="2"/>
      </rPr>
      <t xml:space="preserve"> :</t>
    </r>
  </si>
  <si>
    <r>
      <t>Taux de croissance du chiffre d’affaires</t>
    </r>
    <r>
      <rPr>
        <sz val="12"/>
        <color theme="1"/>
        <rFont val="Century Gothic"/>
        <family val="2"/>
      </rPr>
      <t xml:space="preserve"> : 50 %</t>
    </r>
  </si>
  <si>
    <r>
      <t>Productivité par secteur</t>
    </r>
    <r>
      <rPr>
        <sz val="12"/>
        <color theme="1"/>
        <rFont val="Century Gothic"/>
        <family val="2"/>
      </rPr>
      <t xml:space="preserve"> : 30 %</t>
    </r>
  </si>
  <si>
    <r>
      <t>Part de marché</t>
    </r>
    <r>
      <rPr>
        <sz val="12"/>
        <color theme="1"/>
        <rFont val="Century Gothic"/>
        <family val="2"/>
      </rPr>
      <t xml:space="preserve"> : 20 %</t>
    </r>
  </si>
  <si>
    <t>3.3 Gouvernance de la Pondération</t>
  </si>
  <si>
    <t>La pondération des dimensions et des indicateurs doit être validée par un comité stratégique composé de représentants des acteurs publics et privés.</t>
  </si>
  <si>
    <r>
      <t xml:space="preserve">La pondération doit être révisée </t>
    </r>
    <r>
      <rPr>
        <b/>
        <sz val="12"/>
        <color theme="1"/>
        <rFont val="Century Gothic"/>
        <family val="2"/>
      </rPr>
      <t>annuellement</t>
    </r>
    <r>
      <rPr>
        <sz val="12"/>
        <color theme="1"/>
        <rFont val="Century Gothic"/>
        <family val="2"/>
      </rPr>
      <t xml:space="preserve"> pour refléter les priorités et les changements dans le secteur.</t>
    </r>
  </si>
  <si>
    <t>4. Modèle d’Analyse Trimestrielle</t>
  </si>
  <si>
    <t>4.1 Structure de l’Analyse</t>
  </si>
  <si>
    <t>L’analyse trimestrielle se décompose en trois parties essentielles :</t>
  </si>
  <si>
    <r>
      <t>1. Bilan global</t>
    </r>
    <r>
      <rPr>
        <sz val="12"/>
        <color theme="1"/>
        <rFont val="Century Gothic"/>
        <family val="2"/>
      </rPr>
      <t xml:space="preserve"> : présentation de l’indice global et de son évolution par rapport au trimestre précédent.</t>
    </r>
  </si>
  <si>
    <r>
      <t>2. Analyse détaillée par dimension</t>
    </r>
    <r>
      <rPr>
        <sz val="12"/>
        <color theme="1"/>
        <rFont val="Century Gothic"/>
        <family val="2"/>
      </rPr>
      <t xml:space="preserve"> : décomposition du score par dimension et identification des facteurs clés influençant la performance.</t>
    </r>
  </si>
  <si>
    <r>
      <t>3. Identification des actions correctrices</t>
    </r>
    <r>
      <rPr>
        <sz val="12"/>
        <color theme="1"/>
        <rFont val="Century Gothic"/>
        <family val="2"/>
      </rPr>
      <t xml:space="preserve"> : analyse des écarts et recommandations d’améliorations.</t>
    </r>
  </si>
  <si>
    <t>4.2 Format du Reporting</t>
  </si>
  <si>
    <t>Le reporting trimestriel doit être structuré de manière à faciliter la lecture et l’interprétation des résultats. Il inclut :</t>
  </si>
  <si>
    <r>
      <t>Synthèse exécutive</t>
    </r>
    <r>
      <rPr>
        <sz val="12"/>
        <color theme="1"/>
        <rFont val="Century Gothic"/>
        <family val="2"/>
      </rPr>
      <t xml:space="preserve"> : point sur l’évolution de l’indice global, faits saillants et alertes principales.</t>
    </r>
  </si>
  <si>
    <r>
      <t>Analyse des dimensions</t>
    </r>
    <r>
      <rPr>
        <sz val="12"/>
        <color theme="1"/>
        <rFont val="Century Gothic"/>
        <family val="2"/>
      </rPr>
      <t xml:space="preserve"> : tableau détaillé des scores et des contributions à l’évolution de l’indice global.</t>
    </r>
  </si>
  <si>
    <r>
      <t>Facteurs explicatifs et plan d’action</t>
    </r>
    <r>
      <rPr>
        <sz val="12"/>
        <color theme="1"/>
        <rFont val="Century Gothic"/>
        <family val="2"/>
      </rPr>
      <t xml:space="preserve"> : identification des points faibles et des leviers d’amélioration.</t>
    </r>
  </si>
  <si>
    <t>5. Gouvernance du Baromètre</t>
  </si>
  <si>
    <t>5.1 Comités de Pilotage</t>
  </si>
  <si>
    <t>Le baromètre sera piloté par deux comités :</t>
  </si>
  <si>
    <r>
      <t>Comité Stratégique</t>
    </r>
    <r>
      <rPr>
        <sz val="12"/>
        <color theme="1"/>
        <rFont val="Century Gothic"/>
        <family val="2"/>
      </rPr>
      <t xml:space="preserve"> : composé des acteurs publics et privés, il valide la méthodologie, les pondérations, les rapports trimestriels et les révisions annuelles.</t>
    </r>
  </si>
  <si>
    <r>
      <t>Comité Technique</t>
    </r>
    <r>
      <rPr>
        <sz val="12"/>
        <color theme="1"/>
        <rFont val="Century Gothic"/>
        <family val="2"/>
      </rPr>
      <t xml:space="preserve"> : responsable de la collecte des données, de l’analyse des résultats et de la mise en œuvre des ajustements techniques.</t>
    </r>
  </si>
  <si>
    <t>5.2 Fréquence des Révisions</t>
  </si>
  <si>
    <r>
      <t>Révision trimestrielle</t>
    </r>
    <r>
      <rPr>
        <sz val="12"/>
        <color theme="1"/>
        <rFont val="Century Gothic"/>
        <family val="2"/>
      </rPr>
      <t xml:space="preserve"> : ajustement des données et reporting des résultats.</t>
    </r>
  </si>
  <si>
    <r>
      <t>Révision annuelle</t>
    </r>
    <r>
      <rPr>
        <sz val="12"/>
        <color theme="1"/>
        <rFont val="Century Gothic"/>
        <family val="2"/>
      </rPr>
      <t xml:space="preserve"> : révision de la pondération des dimensions et des indicateurs, et mise à jour de la méthodologie.</t>
    </r>
  </si>
  <si>
    <t>5.3 Indicateurs de Suivi</t>
  </si>
  <si>
    <t>Des indicateurs de performance sont définis pour suivre l’évolution de la mise en œuvre du baromètre :</t>
  </si>
  <si>
    <r>
      <t>Taux de couverture des entreprises</t>
    </r>
    <r>
      <rPr>
        <sz val="12"/>
        <color theme="1"/>
        <rFont val="Century Gothic"/>
        <family val="2"/>
      </rPr>
      <t xml:space="preserve"> : % d’entreprises industrielles et commerciales couvertes par le baromètre.</t>
    </r>
  </si>
  <si>
    <r>
      <t>Qualité des données</t>
    </r>
    <r>
      <rPr>
        <sz val="12"/>
        <color theme="1"/>
        <rFont val="Century Gothic"/>
        <family val="2"/>
      </rPr>
      <t xml:space="preserve"> : taux d’erreur dans la collecte et l’analyse des données.</t>
    </r>
  </si>
  <si>
    <r>
      <t>Satisfaction des parties prenantes</t>
    </r>
    <r>
      <rPr>
        <sz val="12"/>
        <color theme="1"/>
        <rFont val="Century Gothic"/>
        <family val="2"/>
      </rPr>
      <t xml:space="preserve"> : mesure de la satisfaction des utilisateurs du baromètre (public et privé).</t>
    </r>
  </si>
  <si>
    <t>6. Communication et Diffusion des Résultats</t>
  </si>
  <si>
    <t>6.1 Modalités de Diffusion</t>
  </si>
  <si>
    <t>Les résultats du baromètre seront publiés trimestriellement sous forme de :</t>
  </si>
  <si>
    <r>
      <t>Rapports détaillés</t>
    </r>
    <r>
      <rPr>
        <sz val="12"/>
        <color theme="1"/>
        <rFont val="Century Gothic"/>
        <family val="2"/>
      </rPr>
      <t xml:space="preserve"> : pour les parties prenantes institutionnelles.</t>
    </r>
  </si>
  <si>
    <r>
      <t>Résumé exécutif</t>
    </r>
    <r>
      <rPr>
        <sz val="12"/>
        <color theme="1"/>
        <rFont val="Century Gothic"/>
        <family val="2"/>
      </rPr>
      <t xml:space="preserve"> : pour le grand public et les acteurs économiques.</t>
    </r>
  </si>
  <si>
    <t>6.2 Accessibilité des Données</t>
  </si>
  <si>
    <t>Le baromètre sera accessible via une plateforme numérique, avec des sections spécifiques pour chaque acteur (administration publique, entreprises, citoyens).</t>
  </si>
  <si>
    <t>6.3 Communication des Résultats</t>
  </si>
  <si>
    <t>Les résultats devront être accompagnés de recommandations précises et de points d’action. Une conférence annuelle pourra être organisée pour la présentation des résultats de l’année.</t>
  </si>
  <si>
    <t>7. Conclusion</t>
  </si>
  <si>
    <r>
      <t xml:space="preserve">Le </t>
    </r>
    <r>
      <rPr>
        <b/>
        <sz val="12"/>
        <color theme="1"/>
        <rFont val="Century Gothic"/>
        <family val="2"/>
      </rPr>
      <t>Baromètre Industrie et Commerce de Guinée</t>
    </r>
    <r>
      <rPr>
        <sz val="12"/>
        <color theme="1"/>
        <rFont val="Century Gothic"/>
        <family val="2"/>
      </rPr>
      <t xml:space="preserve"> représente un outil clé pour mesurer la compétitivité et l'évolution du secteur. Sa mise en œuvre et son suivi rigoureux offriront aux acteurs économiques un outil précieux pour mieux comprendre les dynamiques du marché et orienter leurs stratégies. Il devient ainsi un instrument de gouvernance essentiel pour favoriser la croissance durable et l’attractivité économique du pays.</t>
    </r>
  </si>
  <si>
    <t>Annexes</t>
  </si>
  <si>
    <r>
      <t>Annexe 1</t>
    </r>
    <r>
      <rPr>
        <sz val="12"/>
        <color theme="1"/>
        <rFont val="Century Gothic"/>
        <family val="2"/>
      </rPr>
      <t xml:space="preserve"> : Liste des dimensions et indicateurs</t>
    </r>
  </si>
  <si>
    <r>
      <t>Annexe 2</t>
    </r>
    <r>
      <rPr>
        <sz val="12"/>
        <color theme="1"/>
        <rFont val="Century Gothic"/>
        <family val="2"/>
      </rPr>
      <t xml:space="preserve"> : Modèle de reporting trimestriel</t>
    </r>
  </si>
  <si>
    <r>
      <t>Annexe 3</t>
    </r>
    <r>
      <rPr>
        <sz val="12"/>
        <color theme="1"/>
        <rFont val="Century Gothic"/>
        <family val="2"/>
      </rPr>
      <t xml:space="preserve"> : Tableau de pondération des dimensions et indicateurs</t>
    </r>
  </si>
  <si>
    <t>Cela constitue une première version de la note de cadrage. Elle peut être ajustée en fonction des retours des parties prenantes.</t>
  </si>
  <si>
    <t>Colonne1</t>
  </si>
  <si>
    <t>Colonne2</t>
  </si>
  <si>
    <t>Colonne3</t>
  </si>
  <si>
    <t>Colonne4</t>
  </si>
  <si>
    <t>Colonne5</t>
  </si>
  <si>
    <t>Colonne6</t>
  </si>
  <si>
    <t>Trimestre 1</t>
  </si>
  <si>
    <t>Trimestre 2</t>
  </si>
  <si>
    <t>Trimestre 3</t>
  </si>
  <si>
    <t>Trimestre 4</t>
  </si>
  <si>
    <t>Partenaires institutionnelles : Présidence; Primature; Ministères : finances; Plan; Agriculture; BCRG; etc.), INS; ANASA; ONCP; CGE-GUI; CCIAG; etc.)</t>
  </si>
  <si>
    <t>Partenaires techniques et financiers : ONUDI ; PNUD ; Banque Mondiale ; BAD ; etc.</t>
  </si>
  <si>
    <t>Entité (entreprise)</t>
  </si>
  <si>
    <t>Effectifs employés</t>
  </si>
  <si>
    <t>Chiffre d'affaires</t>
  </si>
  <si>
    <t>Exportation</t>
  </si>
  <si>
    <t>2. SIM PRIX</t>
  </si>
  <si>
    <t>Base principale : Le SIM PRIX constitue la première source de données, recensées sur les principaux marchés couverts.</t>
  </si>
  <si>
    <t>Variables collectées : Nombre de marché, prix des denrées stratégiques, stocks, importations, exportations, contraintes rencontrées.</t>
  </si>
  <si>
    <t>Entité (marché)</t>
  </si>
  <si>
    <t>Produit 1</t>
  </si>
  <si>
    <t>Produit 2</t>
  </si>
  <si>
    <t>Produit 3</t>
  </si>
  <si>
    <t>Produit 4</t>
  </si>
  <si>
    <t>Produit 5</t>
  </si>
  <si>
    <t>Produit 6</t>
  </si>
  <si>
    <t>Produit 7</t>
  </si>
  <si>
    <t>Produit 8</t>
  </si>
  <si>
    <t>Prix moyen</t>
  </si>
  <si>
    <t xml:space="preserve">3. AGRICULTURE </t>
  </si>
  <si>
    <t>Base principale : L'ANASA constitue la première source de données.</t>
  </si>
  <si>
    <t>Variables collectées : Principale spéculation ; Zone géographique ; Superficie emblavée ; Production ; contraintes rencontrées.</t>
  </si>
  <si>
    <t>Spéculation</t>
  </si>
  <si>
    <t>Matrice Suivi Industrie Guinee</t>
  </si>
  <si>
    <t>Unité</t>
  </si>
  <si>
    <t>Période de suivi</t>
  </si>
  <si>
    <t>Source de données</t>
  </si>
  <si>
    <t>Fréquence</t>
  </si>
  <si>
    <t>Responsable</t>
  </si>
  <si>
    <t>Objectif de suivi</t>
  </si>
  <si>
    <t>Méthode de calcul</t>
  </si>
  <si>
    <t>Seuils / Cibles</t>
  </si>
  <si>
    <t>Indice de Production Industrielle (IPI) Total</t>
  </si>
  <si>
    <t>Indice base 100</t>
  </si>
  <si>
    <t>Trimestriel</t>
  </si>
  <si>
    <t>INS</t>
  </si>
  <si>
    <t>Trimestrielle</t>
  </si>
  <si>
    <t>Suivi global de la production industrielle</t>
  </si>
  <si>
    <t>IPI = (Production actuelle / Production de base) * 100</t>
  </si>
  <si>
    <t>+5% annuel par rapport à T1 2023</t>
  </si>
  <si>
    <t>IPI Manufacturier</t>
  </si>
  <si>
    <t>Performance du secteur manufacturier</t>
  </si>
  <si>
    <t>IPI manufacturier = (Production manufacturière actuelle / Production de base manufacturière) * 100</t>
  </si>
  <si>
    <t>+4% annuel</t>
  </si>
  <si>
    <t>Part de l'industrie dans le PIB</t>
  </si>
  <si>
    <t>Annuel</t>
  </si>
  <si>
    <t>INS / World Bank</t>
  </si>
  <si>
    <t>Ministère de l'Industrie</t>
  </si>
  <si>
    <t>Contribution de l'industrie à l'économie</t>
  </si>
  <si>
    <t>(Valeur ajoutée industrielle / PIB total) * 100</t>
  </si>
  <si>
    <t>Maintien ou augmentation de la part &gt;20%</t>
  </si>
  <si>
    <t>Valeur ajoutée industrielle (VAI)</t>
  </si>
  <si>
    <t>Milliards USD</t>
  </si>
  <si>
    <t>INS / Ministère de l'Industrie</t>
  </si>
  <si>
    <t>Évaluer la richesse générée par le secteur</t>
  </si>
  <si>
    <t>Somme de la valeur ajoutée des sous-secteurs industriels</t>
  </si>
  <si>
    <t>Croissance annuelle &gt;6%</t>
  </si>
  <si>
    <t>Enquêtes INS</t>
  </si>
  <si>
    <t>INS / Ministère du Travail</t>
  </si>
  <si>
    <t>Suivi de l'emploi industriel</t>
  </si>
  <si>
    <t>Comptage des emplois dans toutes les industries</t>
  </si>
  <si>
    <t>Augmentation &gt;2% par an</t>
  </si>
  <si>
    <t>USD</t>
  </si>
  <si>
    <t>Douanes / INS</t>
  </si>
  <si>
    <t>Suivi de la performance commerciale</t>
  </si>
  <si>
    <t>Somme des exportations de produits industriels</t>
  </si>
  <si>
    <t>Croissance annuelle &gt;5%</t>
  </si>
  <si>
    <t>Capacité de production</t>
  </si>
  <si>
    <t>Ministère de l'Industrie / Enquêtes sectorielles</t>
  </si>
  <si>
    <t>Mesurer l'utilisation des capacités</t>
  </si>
  <si>
    <t>(Production réalisée / Capacité installée) * 100</t>
  </si>
  <si>
    <t>Minimum 70%</t>
  </si>
  <si>
    <t>Investissements industriels (FBCF)</t>
  </si>
  <si>
    <t>INS / Banque Centrale</t>
  </si>
  <si>
    <t>Suivi des investissements dans l'industrie</t>
  </si>
  <si>
    <t>Somme des investissements en biens d'équipement et infrastructures industrielles</t>
  </si>
  <si>
    <t>Répartition sectorielle</t>
  </si>
  <si>
    <t>Identifier la structure de l'industrie</t>
  </si>
  <si>
    <t>Chaque colonne est conçue pour être directement exploitable dans Excel, avec la possibilité d'ajouter des graphiques, filtres et formules pour automatiser le suivi.</t>
  </si>
  <si>
    <t>Instructions pour Excel:</t>
  </si>
  <si>
    <t>1. Copier ce tableau dans une feuille Excel.</t>
  </si>
  <si>
    <t>2. Définir chaque colonne comme type approprié (Texte, Numérique, Pourcentage, Date).</t>
  </si>
  <si>
    <t>3. Ajouter des colonnes supplémentaires si vous souhaitez intégrer les valeurs réelles trimestrielles ou annuelles.</t>
  </si>
  <si>
    <t>4. Utiliser des formules Excel pour calculer les écarts par rapport aux cibles et seuils.</t>
  </si>
  <si>
    <t>Valeur / Observation</t>
  </si>
  <si>
    <t>Source</t>
  </si>
  <si>
    <t>T1‑2025</t>
  </si>
  <si>
    <t>Production industrielle (Ensemble)</t>
  </si>
  <si>
    <t>Indice de Production Industrielle (IPI) du T1‑2025 comparé à T4‑2024 : +11,0 % (glissement trimestriel)</t>
  </si>
  <si>
    <t>INS publiées par l’INS (rapports IPI T1‑2025) (CNNSLOT)</t>
  </si>
  <si>
    <t>T2‑2025</t>
  </si>
  <si>
    <t>IPI T2‑2025 en hausse de +5 % par rapport à T2‑2024</t>
  </si>
  <si>
    <t>INS via analyses sectorielles (Eco-Finance Guinée)</t>
  </si>
  <si>
    <t>T3‑2025</t>
  </si>
  <si>
    <t>IPI T3‑2025 en hausse de +10,4 % en glissement annuel</t>
  </si>
  <si>
    <t>INS via publication harmonisée T3‑2025 (CNNSLOT)</t>
  </si>
  <si>
    <t>Données industrielles disponibles (données trimestrielles réelles)</t>
  </si>
  <si>
    <t>Mise à jour de la matrice de suivi avec les valeurs disponibles</t>
  </si>
  <si>
    <t>Valeur (année/variation)</t>
  </si>
  <si>
    <t>IPI Total</t>
  </si>
  <si>
    <t>Indice (variation)</t>
  </si>
  <si>
    <t>T1‑2025 vs T4‑2024</t>
  </si>
  <si>
    <t>+11,0 %</t>
  </si>
  <si>
    <t>T2‑2025 vs T2‑2024</t>
  </si>
  <si>
    <t>+5,0 %</t>
  </si>
  <si>
    <t>T3‑2025 vs T3‑2024</t>
  </si>
  <si>
    <t>+10,4 %</t>
  </si>
  <si>
    <t>T4‑2025 (à compléter)</t>
  </si>
  <si>
    <t>T1‑2026 (à compléter)</t>
  </si>
  <si>
    <t>Objectif / Seuil</t>
  </si>
  <si>
    <t>+5 % annuel</t>
  </si>
  <si>
    <t>+4 % annuel</t>
  </si>
  <si>
    <t>Maintien ou augmentation &gt;20 %</t>
  </si>
  <si>
    <t>Valeur ajoutée industrielle</t>
  </si>
  <si>
    <t>Croissance &gt;6 %</t>
  </si>
  <si>
    <t>Augmentation &gt;2 % par an</t>
  </si>
  <si>
    <t>Croissance &gt;5 %</t>
  </si>
  <si>
    <t>Minimum 70 %</t>
  </si>
  <si>
    <t>Maintien / diversification</t>
  </si>
  <si>
    <t>Structure de la matrice</t>
  </si>
  <si>
    <t>Poids (%)</t>
  </si>
  <si>
    <t xml:space="preserve">Production Base (T0) </t>
  </si>
  <si>
    <t>C2</t>
  </si>
  <si>
    <t>Production Trimestre (Tn)</t>
  </si>
  <si>
    <t>D2</t>
  </si>
  <si>
    <t>IPI Sous-secteur</t>
  </si>
  <si>
    <t>Manufacturier</t>
  </si>
  <si>
    <r>
      <t>=SUM(E2</t>
    </r>
    <r>
      <rPr>
        <i/>
        <sz val="14"/>
        <color theme="1"/>
        <rFont val="Aptos"/>
        <family val="2"/>
      </rPr>
      <t>B2/100, E3</t>
    </r>
    <r>
      <rPr>
        <sz val="14"/>
        <color theme="1"/>
        <rFont val="Aptos"/>
        <family val="2"/>
      </rPr>
      <t>B3/100, E4*B4/100)</t>
    </r>
  </si>
  <si>
    <t>Extraction minière (mines)</t>
  </si>
  <si>
    <t>Industries manufacturières</t>
  </si>
  <si>
    <t>Production et distribution d’électricité, gaz et eau</t>
  </si>
  <si>
    <t>Construction industrielle</t>
  </si>
  <si>
    <t>Industries agro‑alimentaires (manufacturier spécifique)</t>
  </si>
  <si>
    <t>Industries chimiques et matériaux</t>
  </si>
  <si>
    <t>Textile, habillement et cuir</t>
  </si>
  <si>
    <t>Industries métallurgiques et produits métalliques</t>
  </si>
  <si>
    <t>Industries du bois et papiers</t>
  </si>
  <si>
    <t>Autres industries manufacturières spécialisées</t>
  </si>
  <si>
    <t>(D2/C2)*100</t>
  </si>
  <si>
    <t>Sous‑secteur industriel</t>
  </si>
  <si>
    <t>Part estimée dans le total de l’industrie guinéenne</t>
  </si>
  <si>
    <t>≈ 39,25 %</t>
  </si>
  <si>
    <t>≈ 43,61 %</t>
  </si>
  <si>
    <t>Construction (incluse dans l’industrie)</t>
  </si>
  <si>
    <t>≈ 17,41 %</t>
  </si>
  <si>
    <t>Poids principaux des sous‑secteurs industriels (données disponibles)</t>
  </si>
  <si>
    <t>Sous‑secteurs non ventilés publiquement</t>
  </si>
  <si>
    <t>Sous‑secteur</t>
  </si>
  <si>
    <t>Données disponibles</t>
  </si>
  <si>
    <t>Remarque</t>
  </si>
  <si>
    <t>Non ventilé publiquement</t>
  </si>
  <si>
    <t>Inclus dans les catégories “industrie manufacturière” ou “services industriels” sans valeur propre publiée par INS.</t>
  </si>
  <si>
    <t>Industries agro‑alimentaires</t>
  </si>
  <si>
    <t>Partie du manufacturier mais sans pondération isolée officielle.</t>
  </si>
  <si>
    <t>Très faible présence selon données qualitatives. (FlipHTML5)</t>
  </si>
  <si>
    <t>Source qualitative suggère ~16 % des unités manufacturières, mais pas de part de VA disponible. (FlipHTML5)</t>
  </si>
  <si>
    <t>Partie du manufacturier sans pondération officielle.</t>
  </si>
  <si>
    <t>Très faible représentation selon données qualitatives.</t>
  </si>
  <si>
    <t>Agrégat résiduel du manufacturier.</t>
  </si>
  <si>
    <t>Extraction minière</t>
  </si>
  <si>
    <t>Métrique</t>
  </si>
  <si>
    <t>Formule Excel</t>
  </si>
  <si>
    <t>Production minière</t>
  </si>
  <si>
    <t>Tonnes</t>
  </si>
  <si>
    <t>Variation par rapport à la base</t>
  </si>
  <si>
    <t>Valeur ajoutée minière</t>
  </si>
  <si>
    <t>Part du secteur minier</t>
  </si>
  <si>
    <t>Production manufacturière</t>
  </si>
  <si>
    <t>Valeur ajoutée manufacturière</t>
  </si>
  <si>
    <t>Part du manufacturier dans l’industrie</t>
  </si>
  <si>
    <t>IPI manufacturier</t>
  </si>
  <si>
    <t>Énergie, gaz et eau</t>
  </si>
  <si>
    <t>Production électrique</t>
  </si>
  <si>
    <t>MWh</t>
  </si>
  <si>
    <t>Variation de production</t>
  </si>
  <si>
    <t>Distribution d’eau</t>
  </si>
  <si>
    <t>m³</t>
  </si>
  <si>
    <t>Utilisation des capacités</t>
  </si>
  <si>
    <t>Chimie et matériaux</t>
  </si>
  <si>
    <t>Production chimique</t>
  </si>
  <si>
    <t>Valeur ajoutée chimie</t>
  </si>
  <si>
    <t>Part dans l’industrie</t>
  </si>
  <si>
    <t>Production textile</t>
  </si>
  <si>
    <t>Valeur ajoutée textile</t>
  </si>
  <si>
    <t>Métallurgie et produits métalliques</t>
  </si>
  <si>
    <t>Production métal</t>
  </si>
  <si>
    <t>Valeur ajoutée métallurgie</t>
  </si>
  <si>
    <t>Bois et papier</t>
  </si>
  <si>
    <t>Production papier/bois</t>
  </si>
  <si>
    <t>Valeur ajoutée bois/papier</t>
  </si>
  <si>
    <t>Industrie Guinée</t>
  </si>
  <si>
    <t>Table : indicateurs par unité industrielle</t>
  </si>
  <si>
    <t>TABLE : CONTRAINTES ENTREPRISES</t>
  </si>
  <si>
    <t>Somme des scores par unité</t>
  </si>
  <si>
    <t>TABLE : PERSPECTIVES</t>
  </si>
  <si>
    <t>3. Stocks produits finis</t>
  </si>
  <si>
    <t>5. Accès financement</t>
  </si>
  <si>
    <t>6. Emploi</t>
  </si>
  <si>
    <t>8. Import matières premières</t>
  </si>
  <si>
    <t>9. Coût énergie</t>
  </si>
  <si>
    <t>10. Coût transport</t>
  </si>
  <si>
    <t>11. Fiscalité</t>
  </si>
  <si>
    <t>12. Contraintes administratives</t>
  </si>
  <si>
    <t>13. Perspectives production</t>
  </si>
  <si>
    <t>14. Perspectives emploi</t>
  </si>
  <si>
    <t>15. Perspectives investissement</t>
  </si>
  <si>
    <t>Production Base (T0)</t>
  </si>
  <si>
    <t>Valeur ajoutée (USD)</t>
  </si>
  <si>
    <t>Part dans l’industrie (%)</t>
  </si>
  <si>
    <t>INS / Mines</t>
  </si>
  <si>
    <t>INS / Manufacturier</t>
  </si>
  <si>
    <t>INS / Construction</t>
  </si>
  <si>
    <t>Total IPI industriel</t>
  </si>
  <si>
    <r>
      <t>=SUM(E2</t>
    </r>
    <r>
      <rPr>
        <i/>
        <sz val="12"/>
        <color theme="1"/>
        <rFont val="Aptos"/>
        <family val="2"/>
      </rPr>
      <t>B2/100,E3</t>
    </r>
    <r>
      <rPr>
        <sz val="12"/>
        <color theme="1"/>
        <rFont val="Aptos"/>
        <family val="2"/>
      </rPr>
      <t>B3/100,E4*B4/100)</t>
    </r>
  </si>
  <si>
    <t>100</t>
  </si>
  <si>
    <r>
      <t>Instructions pour Excel:</t>
    </r>
    <r>
      <rPr>
        <sz val="12"/>
        <color theme="1"/>
        <rFont val="Aptos"/>
        <family val="2"/>
      </rPr>
      <t xml:space="preserve"> 1. Les colonnes </t>
    </r>
    <r>
      <rPr>
        <b/>
        <sz val="12"/>
        <color theme="1"/>
        <rFont val="Aptos"/>
        <family val="2"/>
      </rPr>
      <t>Production Base (T0)</t>
    </r>
    <r>
      <rPr>
        <sz val="12"/>
        <color theme="1"/>
        <rFont val="Aptos"/>
        <family val="2"/>
      </rPr>
      <t xml:space="preserve"> et </t>
    </r>
    <r>
      <rPr>
        <b/>
        <sz val="12"/>
        <color theme="1"/>
        <rFont val="Aptos"/>
        <family val="2"/>
      </rPr>
      <t>Production Trimestre (Tn)</t>
    </r>
    <r>
      <rPr>
        <sz val="12"/>
        <color theme="1"/>
        <rFont val="Aptos"/>
        <family val="2"/>
      </rPr>
      <t xml:space="preserve"> sont à remplir selon les données réelles de l’INS ou d’autres sources. 2. La colonne </t>
    </r>
    <r>
      <rPr>
        <b/>
        <sz val="12"/>
        <color theme="1"/>
        <rFont val="Aptos"/>
        <family val="2"/>
      </rPr>
      <t>IPI Sous-secteur</t>
    </r>
    <r>
      <rPr>
        <sz val="12"/>
        <color theme="1"/>
        <rFont val="Aptos"/>
        <family val="2"/>
      </rPr>
      <t xml:space="preserve"> calcule automatiquement l’indice de chaque sous-secteur. 3. La colonne </t>
    </r>
    <r>
      <rPr>
        <b/>
        <sz val="12"/>
        <color theme="1"/>
        <rFont val="Aptos"/>
        <family val="2"/>
      </rPr>
      <t>Part dans l’industrie (%)</t>
    </r>
    <r>
      <rPr>
        <sz val="12"/>
        <color theme="1"/>
        <rFont val="Aptos"/>
        <family val="2"/>
      </rPr>
      <t xml:space="preserve"> est calculée automatiquement à partir des valeurs ajoutées. 4. La ligne </t>
    </r>
    <r>
      <rPr>
        <b/>
        <sz val="12"/>
        <color theme="1"/>
        <rFont val="Aptos"/>
        <family val="2"/>
      </rPr>
      <t>Total IPI industriel</t>
    </r>
    <r>
      <rPr>
        <sz val="12"/>
        <color theme="1"/>
        <rFont val="Aptos"/>
        <family val="2"/>
      </rPr>
      <t xml:space="preserve"> calcule l’IPI pondéré total de l’industrie. 5. Les champs </t>
    </r>
    <r>
      <rPr>
        <b/>
        <sz val="12"/>
        <color theme="1"/>
        <rFont val="Aptos"/>
        <family val="2"/>
      </rPr>
      <t>Source</t>
    </r>
    <r>
      <rPr>
        <sz val="12"/>
        <color theme="1"/>
        <rFont val="Aptos"/>
        <family val="2"/>
      </rPr>
      <t xml:space="preserve"> et </t>
    </r>
    <r>
      <rPr>
        <b/>
        <sz val="12"/>
        <color theme="1"/>
        <rFont val="Aptos"/>
        <family val="2"/>
      </rPr>
      <t>Commentaires</t>
    </r>
    <r>
      <rPr>
        <sz val="12"/>
        <color theme="1"/>
        <rFont val="Aptos"/>
        <family val="2"/>
      </rPr>
      <t xml:space="preserve"> sont destinés à la documentation des données et remarques spécifiques.</t>
    </r>
  </si>
  <si>
    <t>Cette matrice est prête à recevoir les données réelles pour produire un suivi trimestriel ou annuel de l’industrie guinéenne.</t>
  </si>
  <si>
    <t>Description</t>
  </si>
  <si>
    <t>E2</t>
  </si>
  <si>
    <r>
      <t xml:space="preserve">IPI du sous-secteur 1 (par exemple, </t>
    </r>
    <r>
      <rPr>
        <b/>
        <sz val="11"/>
        <color theme="1"/>
        <rFont val="Aptos Narrow"/>
        <family val="2"/>
        <scheme val="minor"/>
      </rPr>
      <t>Extraction minière</t>
    </r>
    <r>
      <rPr>
        <sz val="11"/>
        <color theme="1"/>
        <rFont val="Aptos Narrow"/>
        <family val="2"/>
        <scheme val="minor"/>
      </rPr>
      <t xml:space="preserve">) calculé comme </t>
    </r>
    <r>
      <rPr>
        <sz val="10"/>
        <color theme="1"/>
        <rFont val="Arial Unicode MS"/>
      </rPr>
      <t>(Production Tn / Production Base) * 100</t>
    </r>
  </si>
  <si>
    <t>B2</t>
  </si>
  <si>
    <t>Poids (%) du sous-secteur 1 dans l’industrie totale</t>
  </si>
  <si>
    <t>E2*B2/100</t>
  </si>
  <si>
    <t>Contribution pondérée du sous-secteur 1 à l’IPI Total</t>
  </si>
  <si>
    <t>E3*B3/100</t>
  </si>
  <si>
    <r>
      <t xml:space="preserve">Contribution pondérée du sous-secteur 2 (par ex., </t>
    </r>
    <r>
      <rPr>
        <b/>
        <sz val="11"/>
        <color theme="1"/>
        <rFont val="Aptos Narrow"/>
        <family val="2"/>
        <scheme val="minor"/>
      </rPr>
      <t>Industries manufacturières</t>
    </r>
    <r>
      <rPr>
        <sz val="11"/>
        <color theme="1"/>
        <rFont val="Aptos Narrow"/>
        <family val="2"/>
        <scheme val="minor"/>
      </rPr>
      <t>)</t>
    </r>
  </si>
  <si>
    <t>E4*B4/100</t>
  </si>
  <si>
    <r>
      <t xml:space="preserve">Contribution pondérée du sous-secteur 3 (par ex., </t>
    </r>
    <r>
      <rPr>
        <b/>
        <sz val="11"/>
        <color theme="1"/>
        <rFont val="Aptos Narrow"/>
        <family val="2"/>
        <scheme val="minor"/>
      </rPr>
      <t>Construction</t>
    </r>
    <r>
      <rPr>
        <sz val="11"/>
        <color theme="1"/>
        <rFont val="Aptos Narrow"/>
        <family val="2"/>
        <scheme val="minor"/>
      </rPr>
      <t>)</t>
    </r>
  </si>
  <si>
    <t>IPI</t>
  </si>
  <si>
    <t>Construction</t>
  </si>
  <si>
    <t>Calcul pondéré :</t>
  </si>
  <si>
    <t>Mines : 110 × 39,3 / 100 = 43,23</t>
  </si>
  <si>
    <t>Manufacturier : 105 × 43,6 / 100 = 45,78</t>
  </si>
  <si>
    <t>Construction : 95 × 17,4 / 100 = 16,53</t>
  </si>
  <si>
    <t xml:space="preserve">IPI Total = 43,23+45,78+16,53=105,54 </t>
  </si>
  <si>
    <r>
      <t>Interprétation</t>
    </r>
    <r>
      <rPr>
        <sz val="11"/>
        <color theme="1"/>
        <rFont val="Aptos Narrow"/>
        <family val="2"/>
        <scheme val="minor"/>
      </rPr>
      <t xml:space="preserve"> : L’IPI Total = 105,54 indique que la production industrielle globale a </t>
    </r>
    <r>
      <rPr>
        <b/>
        <sz val="11"/>
        <color theme="1"/>
        <rFont val="Aptos Narrow"/>
        <family val="2"/>
        <scheme val="minor"/>
      </rPr>
      <t>augmenté de 5,54 %</t>
    </r>
    <r>
      <rPr>
        <sz val="11"/>
        <color theme="1"/>
        <rFont val="Aptos Narrow"/>
        <family val="2"/>
        <scheme val="minor"/>
      </rPr>
      <t xml:space="preserve"> par rapport à la période de référence.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</si>
</sst>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family val="2"/>
      <scheme val="minor"/>
    </font>
    <font>
      <sz val="12"/>
      <color theme="1"/>
      <name val="Aptos"/>
      <family val="2"/>
    </font>
    <font>
      <b/>
      <sz val="12"/>
      <color theme="1"/>
      <name val="Century Gothic"/>
      <family val="2"/>
    </font>
    <font>
      <sz val="12"/>
      <color theme="1"/>
      <name val="Century Gothic"/>
      <family val="2"/>
    </font>
    <font>
      <b/>
      <sz val="12"/>
      <color theme="1"/>
      <name val="Segoe UI Emoji"/>
      <family val="2"/>
    </font>
    <font>
      <b/>
      <i/>
      <sz val="12"/>
      <color theme="1"/>
      <name val="Century Gothic"/>
      <family val="2"/>
    </font>
    <font>
      <b/>
      <sz val="12"/>
      <color theme="1"/>
      <name val="Segoe UI Symbol"/>
      <family val="2"/>
    </font>
    <font>
      <b/>
      <sz val="12"/>
      <color theme="1"/>
      <name val="Arial"/>
      <family val="2"/>
    </font>
    <font>
      <sz val="12"/>
      <color theme="1"/>
      <name val="Segoe UI Symbol"/>
      <family val="2"/>
    </font>
    <font>
      <sz val="12"/>
      <color theme="1"/>
      <name val="Segoe UI Emoji"/>
      <family val="2"/>
    </font>
    <font>
      <b/>
      <sz val="12"/>
      <color theme="1"/>
      <name val="Aptos Narrow"/>
      <family val="2"/>
      <scheme val="minor"/>
    </font>
    <font>
      <b/>
      <sz val="11"/>
      <color theme="0"/>
      <name val="Aptos Narrow"/>
      <family val="2"/>
      <scheme val="minor"/>
    </font>
    <font>
      <sz val="11"/>
      <color rgb="FFFF0000"/>
      <name val="Aptos Narrow"/>
      <family val="2"/>
      <scheme val="minor"/>
    </font>
    <font>
      <b/>
      <sz val="11"/>
      <color theme="1"/>
      <name val="Aptos Narrow"/>
      <family val="2"/>
      <scheme val="minor"/>
    </font>
    <font>
      <u/>
      <sz val="11"/>
      <color theme="10"/>
      <name val="Aptos Narrow"/>
      <family val="2"/>
      <scheme val="minor"/>
    </font>
    <font>
      <b/>
      <sz val="12"/>
      <color theme="1"/>
      <name val="Aptos"/>
      <family val="2"/>
    </font>
    <font>
      <b/>
      <sz val="14"/>
      <color theme="1"/>
      <name val="Aptos"/>
      <family val="2"/>
    </font>
    <font>
      <sz val="14"/>
      <color theme="1"/>
      <name val="Aptos"/>
      <family val="2"/>
    </font>
    <font>
      <i/>
      <sz val="14"/>
      <color theme="1"/>
      <name val="Aptos"/>
      <family val="2"/>
    </font>
    <font>
      <sz val="14"/>
      <color rgb="FFFF0000"/>
      <name val="Aptos"/>
      <family val="2"/>
    </font>
    <font>
      <sz val="8"/>
      <name val="Aptos Narrow"/>
      <family val="2"/>
      <scheme val="minor"/>
    </font>
    <font>
      <sz val="10"/>
      <color theme="1"/>
      <name val="Arial Unicode MS"/>
    </font>
    <font>
      <i/>
      <sz val="12"/>
      <color theme="1"/>
      <name val="Aptos"/>
      <family val="2"/>
    </font>
  </fonts>
  <fills count="3">
    <fill>
      <patternFill patternType="none"/>
    </fill>
    <fill>
      <patternFill patternType="gray125"/>
    </fill>
    <fill>
      <patternFill patternType="solid">
        <fgColor theme="4"/>
        <bgColor theme="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0" fontId="14" fillId="0" borderId="0" applyNumberFormat="0" applyFill="0" applyBorder="0" applyAlignment="0" applyProtection="0"/>
  </cellStyleXfs>
  <cellXfs count="108">
    <xf numFmtId="0" fontId="0" fillId="0" borderId="0" xfId="0"/>
    <xf numFmtId="0" fontId="2" fillId="0" borderId="0" xfId="0" applyFont="1" applyAlignment="1">
      <alignment vertical="center"/>
    </xf>
    <xf numFmtId="0" fontId="3" fillId="0" borderId="0" xfId="0" applyFont="1" applyAlignment="1">
      <alignment vertical="center"/>
    </xf>
    <xf numFmtId="0" fontId="0" fillId="0" borderId="0" xfId="0" applyAlignment="1">
      <alignment vertical="center"/>
    </xf>
    <xf numFmtId="0" fontId="0" fillId="0" borderId="0" xfId="0" applyAlignment="1">
      <alignment horizontal="left" vertical="center" indent="1"/>
    </xf>
    <xf numFmtId="0" fontId="3" fillId="0" borderId="0" xfId="0" applyFont="1" applyAlignment="1">
      <alignment horizontal="left" vertical="center" indent="1"/>
    </xf>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xf>
    <xf numFmtId="0" fontId="3" fillId="0" borderId="0" xfId="0" applyFont="1" applyAlignment="1">
      <alignment horizontal="center" vertical="center" wrapText="1"/>
    </xf>
    <xf numFmtId="0" fontId="2" fillId="0" borderId="0" xfId="0" applyFont="1" applyAlignment="1">
      <alignment horizontal="left" vertical="center" indent="1"/>
    </xf>
    <xf numFmtId="0" fontId="0" fillId="0" borderId="0" xfId="0" applyAlignment="1">
      <alignment horizontal="justify" vertical="center"/>
    </xf>
    <xf numFmtId="0" fontId="3" fillId="0" borderId="0" xfId="0" applyFont="1" applyAlignment="1">
      <alignment horizontal="justify" vertical="center"/>
    </xf>
    <xf numFmtId="0" fontId="2" fillId="0" borderId="0" xfId="0" applyFont="1" applyAlignment="1">
      <alignment horizontal="left" vertical="center" indent="2"/>
    </xf>
    <xf numFmtId="0" fontId="2" fillId="0" borderId="0" xfId="0" applyFont="1" applyAlignment="1">
      <alignment horizontal="justify" vertical="center"/>
    </xf>
    <xf numFmtId="0" fontId="4" fillId="0" borderId="0" xfId="0" applyFont="1" applyAlignment="1">
      <alignment horizontal="left" vertical="center" indent="2"/>
    </xf>
    <xf numFmtId="0" fontId="6" fillId="0" borderId="0" xfId="0" applyFont="1" applyAlignment="1">
      <alignment vertical="center"/>
    </xf>
    <xf numFmtId="0" fontId="2" fillId="0" borderId="1" xfId="0" applyFont="1" applyBorder="1" applyAlignment="1">
      <alignment vertical="center" wrapText="1"/>
    </xf>
    <xf numFmtId="9" fontId="2" fillId="0" borderId="1" xfId="0" applyNumberFormat="1" applyFont="1" applyBorder="1" applyAlignment="1">
      <alignment vertical="center" wrapText="1"/>
    </xf>
    <xf numFmtId="9" fontId="2" fillId="0" borderId="0" xfId="0" applyNumberFormat="1" applyFont="1" applyAlignment="1">
      <alignment vertical="center" wrapText="1"/>
    </xf>
    <xf numFmtId="0" fontId="2" fillId="0" borderId="2" xfId="0" applyFont="1" applyBorder="1" applyAlignment="1">
      <alignment vertical="center" wrapText="1"/>
    </xf>
    <xf numFmtId="9" fontId="2" fillId="0" borderId="3" xfId="0" applyNumberFormat="1" applyFont="1" applyBorder="1" applyAlignment="1">
      <alignment vertical="center" wrapText="1"/>
    </xf>
    <xf numFmtId="0" fontId="2" fillId="0" borderId="4" xfId="0" applyFont="1" applyBorder="1" applyAlignment="1">
      <alignment vertical="center" wrapText="1"/>
    </xf>
    <xf numFmtId="0" fontId="0" fillId="0" borderId="0" xfId="0" applyAlignment="1">
      <alignment horizontal="center" vertical="center"/>
    </xf>
    <xf numFmtId="14" fontId="2" fillId="0" borderId="1" xfId="0" applyNumberFormat="1" applyFont="1" applyBorder="1" applyAlignment="1">
      <alignment vertical="center" wrapText="1"/>
    </xf>
    <xf numFmtId="0" fontId="2" fillId="0" borderId="3" xfId="0" applyFont="1" applyBorder="1" applyAlignment="1">
      <alignment vertical="center" wrapText="1"/>
    </xf>
    <xf numFmtId="14" fontId="2" fillId="0" borderId="3" xfId="0" applyNumberFormat="1" applyFont="1" applyBorder="1" applyAlignment="1">
      <alignment vertical="center" wrapText="1"/>
    </xf>
    <xf numFmtId="14" fontId="2" fillId="0" borderId="4" xfId="0" applyNumberFormat="1" applyFont="1" applyBorder="1" applyAlignment="1">
      <alignment vertical="center" wrapText="1"/>
    </xf>
    <xf numFmtId="0" fontId="6" fillId="0" borderId="1" xfId="0" applyFont="1" applyBorder="1" applyAlignment="1">
      <alignment vertical="center" wrapText="1"/>
    </xf>
    <xf numFmtId="0" fontId="6" fillId="0" borderId="3" xfId="0" applyFont="1" applyBorder="1" applyAlignment="1">
      <alignment vertical="center" wrapText="1"/>
    </xf>
    <xf numFmtId="0" fontId="6" fillId="0" borderId="4" xfId="0" applyFont="1" applyBorder="1" applyAlignment="1">
      <alignment vertical="center" wrapText="1"/>
    </xf>
    <xf numFmtId="9" fontId="2" fillId="0" borderId="4" xfId="0" applyNumberFormat="1" applyFont="1" applyBorder="1" applyAlignment="1">
      <alignment vertical="center" wrapText="1"/>
    </xf>
    <xf numFmtId="0" fontId="1" fillId="0" borderId="1" xfId="0" applyFont="1" applyBorder="1" applyAlignment="1">
      <alignment wrapText="1"/>
    </xf>
    <xf numFmtId="0" fontId="1" fillId="0" borderId="3" xfId="0" applyFont="1" applyBorder="1" applyAlignment="1">
      <alignment wrapText="1"/>
    </xf>
    <xf numFmtId="0" fontId="1" fillId="0" borderId="4" xfId="0" applyFont="1" applyBorder="1" applyAlignment="1">
      <alignment wrapText="1"/>
    </xf>
    <xf numFmtId="0" fontId="4" fillId="0" borderId="1" xfId="0" applyFont="1" applyBorder="1" applyAlignment="1">
      <alignment vertical="center" wrapText="1"/>
    </xf>
    <xf numFmtId="0" fontId="4" fillId="0" borderId="4" xfId="0" applyFont="1" applyBorder="1" applyAlignment="1">
      <alignment vertical="center" wrapText="1"/>
    </xf>
    <xf numFmtId="0" fontId="1" fillId="0" borderId="0" xfId="0" applyFont="1" applyAlignment="1">
      <alignment vertical="center" wrapText="1"/>
    </xf>
    <xf numFmtId="0" fontId="3" fillId="0" borderId="0" xfId="0" applyFont="1" applyAlignment="1">
      <alignment horizontal="left" vertical="center" indent="2"/>
    </xf>
    <xf numFmtId="0" fontId="2" fillId="0" borderId="0" xfId="0" applyFont="1" applyAlignment="1">
      <alignment horizontal="center" vertical="center" wrapText="1"/>
    </xf>
    <xf numFmtId="0" fontId="8" fillId="0" borderId="0" xfId="0" applyFont="1" applyAlignment="1">
      <alignment horizontal="center" vertical="center" wrapText="1"/>
    </xf>
    <xf numFmtId="0" fontId="9" fillId="0" borderId="0" xfId="0" applyFont="1" applyAlignment="1">
      <alignment vertical="center"/>
    </xf>
    <xf numFmtId="0" fontId="9" fillId="0" borderId="0" xfId="0" applyFont="1" applyAlignment="1">
      <alignment vertical="center" wrapText="1"/>
    </xf>
    <xf numFmtId="14" fontId="3" fillId="0" borderId="0" xfId="0" applyNumberFormat="1" applyFont="1" applyAlignment="1">
      <alignment horizontal="center" vertical="center" wrapText="1"/>
    </xf>
    <xf numFmtId="0" fontId="0" fillId="0" borderId="0" xfId="0" applyAlignment="1">
      <alignment horizontal="center"/>
    </xf>
    <xf numFmtId="0" fontId="3" fillId="0" borderId="0" xfId="0" applyFont="1" applyAlignment="1">
      <alignment horizontal="center" vertical="center"/>
    </xf>
    <xf numFmtId="0" fontId="4" fillId="0" borderId="0" xfId="0" applyFont="1" applyAlignment="1">
      <alignment horizontal="center" vertical="center"/>
    </xf>
    <xf numFmtId="0" fontId="2" fillId="0" borderId="0" xfId="0" applyFont="1" applyAlignment="1">
      <alignment horizontal="left"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2" fillId="0" borderId="5" xfId="0" applyFont="1" applyBorder="1" applyAlignment="1">
      <alignment vertical="center"/>
    </xf>
    <xf numFmtId="0" fontId="2" fillId="0" borderId="8" xfId="0" applyFont="1" applyBorder="1" applyAlignment="1">
      <alignment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0" fillId="0" borderId="0" xfId="0" applyAlignment="1">
      <alignment horizontal="center" vertical="center" wrapText="1"/>
    </xf>
    <xf numFmtId="0" fontId="13" fillId="0" borderId="0" xfId="0" applyFont="1" applyAlignment="1">
      <alignment horizontal="center" vertical="center" wrapText="1"/>
    </xf>
    <xf numFmtId="0" fontId="0" fillId="0" borderId="0" xfId="0" applyAlignment="1">
      <alignment vertical="center" wrapText="1"/>
    </xf>
    <xf numFmtId="0" fontId="13" fillId="0" borderId="0" xfId="0" applyFont="1" applyAlignment="1">
      <alignment vertical="center" wrapText="1"/>
    </xf>
    <xf numFmtId="0" fontId="14" fillId="0" borderId="0" xfId="1" applyAlignment="1">
      <alignment vertical="center" wrapText="1"/>
    </xf>
    <xf numFmtId="0" fontId="13" fillId="0" borderId="0" xfId="0" applyFont="1"/>
    <xf numFmtId="0" fontId="10" fillId="0" borderId="0" xfId="0" applyFont="1"/>
    <xf numFmtId="0" fontId="1" fillId="0" borderId="0" xfId="0" applyFont="1" applyAlignment="1">
      <alignment vertical="center"/>
    </xf>
    <xf numFmtId="0" fontId="16" fillId="0" borderId="0" xfId="0" applyFont="1" applyAlignment="1">
      <alignment horizontal="center" vertical="center" wrapText="1"/>
    </xf>
    <xf numFmtId="0" fontId="17" fillId="0" borderId="0" xfId="0" applyFont="1" applyAlignment="1">
      <alignment vertical="center" wrapText="1"/>
    </xf>
    <xf numFmtId="9" fontId="17" fillId="0" borderId="0" xfId="0" applyNumberFormat="1" applyFont="1" applyAlignment="1">
      <alignment horizontal="center" vertical="center" wrapText="1"/>
    </xf>
    <xf numFmtId="0" fontId="17" fillId="0" borderId="0" xfId="0" applyFont="1" applyAlignment="1">
      <alignment horizontal="center" vertical="center" wrapText="1"/>
    </xf>
    <xf numFmtId="0" fontId="16" fillId="0" borderId="0" xfId="0" applyFont="1" applyAlignment="1">
      <alignment vertical="center" wrapText="1"/>
    </xf>
    <xf numFmtId="0" fontId="1" fillId="0" borderId="0" xfId="0" applyFont="1" applyAlignment="1">
      <alignment horizontal="center" vertical="center" wrapText="1"/>
    </xf>
    <xf numFmtId="0" fontId="17" fillId="0" borderId="0" xfId="0" applyFont="1" applyAlignment="1">
      <alignment horizontal="justify" vertical="center"/>
    </xf>
    <xf numFmtId="10" fontId="17" fillId="0" borderId="0" xfId="0" applyNumberFormat="1" applyFont="1" applyAlignment="1">
      <alignment horizontal="center" vertical="center" wrapText="1"/>
    </xf>
    <xf numFmtId="0" fontId="19" fillId="0" borderId="0" xfId="0" applyFont="1" applyAlignment="1">
      <alignment vertical="center" wrapText="1"/>
    </xf>
    <xf numFmtId="9" fontId="19" fillId="0" borderId="0" xfId="0" applyNumberFormat="1" applyFont="1" applyAlignment="1">
      <alignment horizontal="center" vertical="center" wrapText="1"/>
    </xf>
    <xf numFmtId="0" fontId="19" fillId="0" borderId="0" xfId="0" applyFont="1" applyAlignment="1">
      <alignment horizontal="center" vertical="center" wrapText="1"/>
    </xf>
    <xf numFmtId="0" fontId="12" fillId="0" borderId="0" xfId="0" applyFont="1"/>
    <xf numFmtId="0" fontId="19" fillId="0" borderId="0" xfId="0" applyFont="1" applyAlignment="1">
      <alignment horizontal="justify" vertical="center"/>
    </xf>
    <xf numFmtId="0" fontId="21" fillId="0" borderId="0" xfId="0" applyFont="1" applyAlignment="1">
      <alignment vertical="center" wrapText="1"/>
    </xf>
    <xf numFmtId="0" fontId="11" fillId="2" borderId="14" xfId="0" applyFont="1" applyFill="1" applyBorder="1" applyAlignment="1">
      <alignment horizontal="center" vertical="center" wrapText="1"/>
    </xf>
    <xf numFmtId="0" fontId="11" fillId="2" borderId="15" xfId="0" applyFont="1" applyFill="1" applyBorder="1" applyAlignment="1">
      <alignment horizontal="center" vertical="center" wrapText="1"/>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0" fillId="0" borderId="9" xfId="0" applyBorder="1"/>
    <xf numFmtId="0" fontId="0" fillId="0" borderId="10" xfId="0" applyBorder="1"/>
    <xf numFmtId="0" fontId="1" fillId="0" borderId="3" xfId="0" applyFont="1" applyBorder="1" applyAlignment="1">
      <alignment vertical="center" wrapText="1"/>
    </xf>
    <xf numFmtId="0" fontId="1" fillId="0" borderId="0" xfId="0" applyFont="1" applyAlignment="1">
      <alignment wrapText="1"/>
    </xf>
    <xf numFmtId="0" fontId="13" fillId="0" borderId="5"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7" xfId="0" applyFont="1" applyBorder="1" applyAlignment="1">
      <alignment horizontal="center"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xf numFmtId="0" fontId="0" fillId="0" borderId="12" xfId="0" applyBorder="1" applyAlignment="1">
      <alignment vertical="center" wrapText="1"/>
    </xf>
    <xf numFmtId="0" fontId="0" fillId="0" borderId="13" xfId="0" applyBorder="1" applyAlignment="1">
      <alignment vertical="center" wrapText="1"/>
    </xf>
    <xf numFmtId="0" fontId="21" fillId="0" borderId="8" xfId="0" applyFont="1" applyBorder="1" applyAlignment="1">
      <alignment vertical="center" wrapText="1"/>
    </xf>
    <xf numFmtId="0" fontId="21" fillId="0" borderId="11" xfId="0" applyFont="1" applyBorder="1" applyAlignment="1">
      <alignment vertical="center" wrapText="1"/>
    </xf>
    <xf numFmtId="0" fontId="10" fillId="0" borderId="6" xfId="0" applyFont="1" applyBorder="1" applyAlignment="1">
      <alignment horizontal="center" vertical="center"/>
    </xf>
    <xf numFmtId="0" fontId="10" fillId="0" borderId="7" xfId="0" applyFont="1" applyBorder="1" applyAlignment="1">
      <alignment horizontal="center" vertical="center"/>
    </xf>
    <xf numFmtId="0" fontId="2" fillId="0" borderId="5" xfId="0" applyFont="1" applyBorder="1" applyAlignment="1">
      <alignment horizontal="center" vertical="center"/>
    </xf>
    <xf numFmtId="0" fontId="2" fillId="0" borderId="8" xfId="0" applyFont="1" applyBorder="1" applyAlignment="1">
      <alignment horizontal="center" vertical="center"/>
    </xf>
    <xf numFmtId="0" fontId="15" fillId="0" borderId="0" xfId="0" applyFont="1" applyAlignment="1">
      <alignment horizontal="left" vertical="center" wrapText="1"/>
    </xf>
  </cellXfs>
  <cellStyles count="2">
    <cellStyle name="Lien hypertexte" xfId="1" builtinId="8"/>
    <cellStyle name="Normal" xfId="0" builtinId="0"/>
  </cellStyles>
  <dxfs count="182">
    <dxf>
      <font>
        <b val="0"/>
        <i val="0"/>
        <strike val="0"/>
        <condense val="0"/>
        <extend val="0"/>
        <outline val="0"/>
        <shadow val="0"/>
        <u val="none"/>
        <vertAlign val="baseline"/>
        <sz val="12"/>
        <color theme="1"/>
        <name val="Century Gothic"/>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general" vertical="center" textRotation="0" wrapText="1" indent="0" justifyLastLine="0" shrinkToFit="0" readingOrder="0"/>
    </dxf>
    <dxf>
      <font>
        <b/>
        <i val="0"/>
        <strike val="0"/>
        <condense val="0"/>
        <extend val="0"/>
        <outline val="0"/>
        <shadow val="0"/>
        <u val="none"/>
        <vertAlign val="baseline"/>
        <sz val="12"/>
        <color theme="1"/>
        <name val="Century Gothic"/>
        <family val="2"/>
        <scheme val="none"/>
      </font>
      <alignment horizontal="center" vertical="center" textRotation="0" wrapText="1"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font>
        <b val="0"/>
        <i val="0"/>
        <strike val="0"/>
        <condense val="0"/>
        <extend val="0"/>
        <outline val="0"/>
        <shadow val="0"/>
        <u val="none"/>
        <vertAlign val="baseline"/>
        <sz val="12"/>
        <color theme="1"/>
        <name val="Century Gothic"/>
        <family val="2"/>
        <scheme val="none"/>
      </font>
      <alignment horizontal="center" vertical="center" textRotation="0" wrapText="0" indent="0" justifyLastLine="0" shrinkToFit="0" readingOrder="0"/>
    </dxf>
    <dxf>
      <alignment horizontal="center" textRotation="0" indent="0" justifyLastLine="0" shrinkToFit="0" readingOrder="0"/>
    </dxf>
    <dxf>
      <font>
        <b/>
        <i val="0"/>
        <strike val="0"/>
        <condense val="0"/>
        <extend val="0"/>
        <outline val="0"/>
        <shadow val="0"/>
        <u val="none"/>
        <vertAlign val="baseline"/>
        <sz val="12"/>
        <color theme="1"/>
        <name val="Century Gothic"/>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general" vertical="center" textRotation="0" wrapText="1" indent="0" justifyLastLine="0" shrinkToFit="0" readingOrder="0"/>
    </dxf>
    <dxf>
      <font>
        <b/>
        <i val="0"/>
        <strike val="0"/>
        <condense val="0"/>
        <extend val="0"/>
        <outline val="0"/>
        <shadow val="0"/>
        <u val="none"/>
        <vertAlign val="baseline"/>
        <sz val="12"/>
        <color theme="1"/>
        <name val="Century Gothic"/>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Arial Unicode MS"/>
        <scheme val="none"/>
      </font>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4"/>
          <bgColor theme="4"/>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rial Unicode MS"/>
        <scheme val="none"/>
      </font>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4"/>
          <bgColor theme="4"/>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rial Unicode MS"/>
        <scheme val="none"/>
      </font>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4"/>
          <bgColor theme="4"/>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rial Unicode MS"/>
        <scheme val="none"/>
      </font>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4"/>
          <bgColor theme="4"/>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rial Unicode MS"/>
        <scheme val="none"/>
      </font>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4"/>
          <bgColor theme="4"/>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rial Unicode MS"/>
        <scheme val="none"/>
      </font>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4"/>
          <bgColor theme="4"/>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rial Unicode MS"/>
        <scheme val="none"/>
      </font>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border outline="0">
        <bottom style="medium">
          <color indexed="64"/>
        </bottom>
      </border>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4"/>
        <color theme="1"/>
        <name val="Aptos"/>
        <family val="2"/>
        <scheme val="none"/>
      </font>
      <alignment horizontal="justify" vertical="center" textRotation="0" wrapText="0" indent="0" justifyLastLine="0" shrinkToFit="0" readingOrder="0"/>
    </dxf>
    <dxf>
      <font>
        <b/>
        <i val="0"/>
        <strike val="0"/>
        <condense val="0"/>
        <extend val="0"/>
        <outline val="0"/>
        <shadow val="0"/>
        <u val="none"/>
        <vertAlign val="baseline"/>
        <sz val="14"/>
        <color theme="1"/>
        <name val="Aptos"/>
        <family val="2"/>
        <scheme val="none"/>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Century Gothic"/>
        <family val="2"/>
        <scheme val="none"/>
      </font>
      <alignment horizontal="left" vertical="center" textRotation="0" wrapText="0" indent="1" justifyLastLine="0" shrinkToFit="0" readingOrder="0"/>
    </dxf>
    <dxf>
      <font>
        <b/>
        <i val="0"/>
        <strike val="0"/>
        <condense val="0"/>
        <extend val="0"/>
        <outline val="0"/>
        <shadow val="0"/>
        <u val="none"/>
        <vertAlign val="baseline"/>
        <sz val="12"/>
        <color theme="1"/>
        <name val="Century Gothic"/>
        <family val="2"/>
        <scheme val="none"/>
      </font>
      <alignment horizontal="left" vertical="center" textRotation="0" wrapText="0" indent="1"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font>
        <b val="0"/>
        <i val="0"/>
        <strike val="0"/>
        <condense val="0"/>
        <extend val="0"/>
        <outline val="0"/>
        <shadow val="0"/>
        <u val="none"/>
        <vertAlign val="baseline"/>
        <sz val="12"/>
        <color theme="1"/>
        <name val="Century Gothic"/>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Century Gothic"/>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center" vertical="center" textRotation="0" wrapText="1" indent="0" justifyLastLine="0" shrinkToFit="0" readingOrder="0"/>
    </dxf>
    <dxf>
      <font>
        <b/>
        <i val="0"/>
        <strike val="0"/>
        <condense val="0"/>
        <extend val="0"/>
        <outline val="0"/>
        <shadow val="0"/>
        <u val="none"/>
        <vertAlign val="baseline"/>
        <sz val="12"/>
        <color theme="1"/>
        <name val="Century Gothic"/>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general" vertical="center" textRotation="0" wrapText="1" indent="0" justifyLastLine="0" shrinkToFit="0" readingOrder="0"/>
    </dxf>
    <dxf>
      <font>
        <b/>
        <i val="0"/>
        <strike val="0"/>
        <condense val="0"/>
        <extend val="0"/>
        <outline val="0"/>
        <shadow val="0"/>
        <u val="none"/>
        <vertAlign val="baseline"/>
        <sz val="12"/>
        <color theme="1"/>
        <name val="Century Gothic"/>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left" vertical="center" textRotation="0" wrapText="0" indent="1" justifyLastLine="0" shrinkToFit="0" readingOrder="0"/>
    </dxf>
    <dxf>
      <font>
        <b val="0"/>
        <i val="0"/>
        <strike val="0"/>
        <condense val="0"/>
        <extend val="0"/>
        <outline val="0"/>
        <shadow val="0"/>
        <u val="none"/>
        <vertAlign val="baseline"/>
        <sz val="12"/>
        <color theme="1"/>
        <name val="Century Gothic"/>
        <family val="2"/>
        <scheme val="none"/>
      </font>
      <alignment horizontal="left" vertical="center" textRotation="0" wrapText="0" indent="1"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2"/>
        <color theme="1"/>
        <name val="Century Gothic"/>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center" vertical="center" textRotation="0" wrapText="1" indent="0" justifyLastLine="0" shrinkToFit="0" readingOrder="0"/>
    </dxf>
    <dxf>
      <font>
        <b/>
        <i val="0"/>
        <strike val="0"/>
        <condense val="0"/>
        <extend val="0"/>
        <outline val="0"/>
        <shadow val="0"/>
        <u val="none"/>
        <vertAlign val="baseline"/>
        <sz val="12"/>
        <color theme="1"/>
        <name val="Century Gothic"/>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general" vertical="center" textRotation="0" wrapText="1" indent="0" justifyLastLine="0" shrinkToFit="0" readingOrder="0"/>
    </dxf>
    <dxf>
      <font>
        <b/>
        <i val="0"/>
        <strike val="0"/>
        <condense val="0"/>
        <extend val="0"/>
        <outline val="0"/>
        <shadow val="0"/>
        <u val="none"/>
        <vertAlign val="baseline"/>
        <sz val="12"/>
        <color theme="1"/>
        <name val="Century Gothic"/>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center" vertical="center" textRotation="0" wrapText="1" indent="0" justifyLastLine="0" shrinkToFit="0" readingOrder="0"/>
    </dxf>
    <dxf>
      <font>
        <b/>
        <i val="0"/>
        <strike val="0"/>
        <condense val="0"/>
        <extend val="0"/>
        <outline val="0"/>
        <shadow val="0"/>
        <u val="none"/>
        <vertAlign val="baseline"/>
        <sz val="12"/>
        <color theme="1"/>
        <name val="Century Gothic"/>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general" vertical="center" textRotation="0" wrapText="1" indent="0" justifyLastLine="0" shrinkToFit="0" readingOrder="0"/>
    </dxf>
    <dxf>
      <font>
        <b/>
        <i val="0"/>
        <strike val="0"/>
        <condense val="0"/>
        <extend val="0"/>
        <outline val="0"/>
        <shadow val="0"/>
        <u val="none"/>
        <vertAlign val="baseline"/>
        <sz val="12"/>
        <color theme="1"/>
        <name val="Century Gothic"/>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Century Gothic"/>
        <family val="2"/>
        <scheme val="none"/>
      </font>
      <alignment horizontal="general" vertical="center" textRotation="0" wrapText="1" indent="0" justifyLastLine="0" shrinkToFit="0" readingOrder="0"/>
    </dxf>
    <dxf>
      <font>
        <b/>
        <i val="0"/>
        <strike val="0"/>
        <condense val="0"/>
        <extend val="0"/>
        <outline val="0"/>
        <shadow val="0"/>
        <u val="none"/>
        <vertAlign val="baseline"/>
        <sz val="12"/>
        <color theme="1"/>
        <name val="Century Gothic"/>
        <family val="2"/>
        <scheme val="none"/>
      </font>
      <alignment horizontal="general" vertical="center" textRotation="0" wrapText="1"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font>
        <b val="0"/>
        <i val="0"/>
        <strike val="0"/>
        <condense val="0"/>
        <extend val="0"/>
        <outline val="0"/>
        <shadow val="0"/>
        <u val="none"/>
        <vertAlign val="baseline"/>
        <sz val="12"/>
        <color theme="1"/>
        <name val="Century Gothic"/>
        <family val="2"/>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97DC7B1-93EF-4093-9A76-E09A1478406E}" name="Tableau1315" displayName="Tableau1315" ref="A73:I83" totalsRowShown="0" headerRowDxfId="181" dataDxfId="180">
  <autoFilter ref="A73:I83" xr:uid="{697DC7B1-93EF-4093-9A76-E09A1478406E}"/>
  <tableColumns count="9">
    <tableColumn id="1" xr3:uid="{F47E5E4E-B996-4666-AF77-1AC9B97ABD40}" name="Entité (entreprise)" dataDxfId="179"/>
    <tableColumn id="2" xr3:uid="{21F28883-E9AE-41B3-B41A-115687EF8863}" name="Effectifs employés" dataDxfId="178"/>
    <tableColumn id="3" xr3:uid="{B3B669BC-F753-4DF6-A7E3-FA098179A5B9}" name="Chiffre d'affaires" dataDxfId="177"/>
    <tableColumn id="4" xr3:uid="{C48518BC-4554-4006-B456-2B0828F37DD5}" name="Investissements" dataDxfId="176"/>
    <tableColumn id="5" xr3:uid="{D6BA3057-1B33-4CA9-B3B4-EEF8536DE873}" name="Production" dataDxfId="175"/>
    <tableColumn id="6" xr3:uid="{570544E1-07D3-4F7D-BF0D-11066250464B}" name="Exportation" dataDxfId="174"/>
    <tableColumn id="7" xr3:uid="{3B61FAA2-6F6A-47E3-891A-791513AD052F}" name="Contraintes" dataDxfId="173"/>
    <tableColumn id="8" xr3:uid="{F60D3F61-2199-45BA-A170-9485AFFBC6F1}" name="Colonne1" dataDxfId="172"/>
    <tableColumn id="9" xr3:uid="{C2D5A896-EE42-4913-AE66-161D1937FF41}" name="Colonne2" dataDxfId="17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5C5921-8711-40C3-A0C1-E2F28B4BD77D}" name="Tableau1" displayName="Tableau1" ref="A22:B24" totalsRowShown="0" headerRowDxfId="170" dataDxfId="169">
  <autoFilter ref="A22:B24" xr:uid="{E65C5921-8711-40C3-A0C1-E2F28B4BD77D}"/>
  <tableColumns count="2">
    <tableColumn id="1" xr3:uid="{7ED438DC-C6D1-4B42-BD89-561BAD2E5965}" name="id_secteur" dataDxfId="168"/>
    <tableColumn id="2" xr3:uid="{D4205324-B30C-4184-9FFB-A7378CBD0804}" name="nom_secteur" dataDxfId="16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0D83242-69DB-484B-B9C9-B0ABD81A5917}" name="Tableau2" displayName="Tableau2" ref="A29:B37" totalsRowShown="0" headerRowDxfId="166" dataDxfId="165">
  <autoFilter ref="A29:B37" xr:uid="{30D83242-69DB-484B-B9C9-B0ABD81A5917}"/>
  <tableColumns count="2">
    <tableColumn id="1" xr3:uid="{06F48747-BE95-4908-86E5-1FA9DA510DBC}" name="id_region" dataDxfId="164"/>
    <tableColumn id="2" xr3:uid="{6AD65EA6-6DF7-4EF0-B06D-FD01746FA184}" name="region" dataDxfId="16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974BB1-DC75-4C10-A682-BDEF75421A87}" name="Tableau3" displayName="Tableau3" ref="A42:E44" totalsRowShown="0" headerRowDxfId="162" dataDxfId="161">
  <autoFilter ref="A42:E44" xr:uid="{EF974BB1-DC75-4C10-A682-BDEF75421A87}"/>
  <tableColumns count="5">
    <tableColumn id="1" xr3:uid="{D7A4EC86-CB62-4518-A5CC-CB66B7F09645}" name="id_periode" dataDxfId="160"/>
    <tableColumn id="2" xr3:uid="{A8CF5B18-65FA-47C4-A5D0-EABDAB98FC72}" name="annee" dataDxfId="159"/>
    <tableColumn id="3" xr3:uid="{D5699F33-3B00-4581-8976-700C4DFC3835}" name="trimestre" dataDxfId="158"/>
    <tableColumn id="4" xr3:uid="{47141D52-4802-4349-967E-6B56F2CEC258}" name="date_debut" dataDxfId="157"/>
    <tableColumn id="5" xr3:uid="{20FF84DA-C57D-41D1-AB9F-AFD442AFF2FB}" name="date_fin" dataDxfId="15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F4F41FA-B8D0-407E-9C3F-28C7BC743817}" name="Tableau4" displayName="Tableau4" ref="A49:E59" totalsRowShown="0" headerRowDxfId="155" dataDxfId="154">
  <autoFilter ref="A49:E59" xr:uid="{BF4F41FA-B8D0-407E-9C3F-28C7BC743817}"/>
  <tableColumns count="5">
    <tableColumn id="1" xr3:uid="{C37E1C52-BD0B-48F2-9299-F4CF404A0F33}" name="id_indicateur" dataDxfId="153"/>
    <tableColumn id="2" xr3:uid="{934D8828-53B2-4120-A7EF-990D387DE17D}" name="nom_indicateur" dataDxfId="152"/>
    <tableColumn id="3" xr3:uid="{DC44CF2E-67B0-4A29-A8AA-8B59590D8F46}" name="secteur" dataDxfId="151"/>
    <tableColumn id="4" xr3:uid="{7F424310-A1A0-432A-81DF-48A37D589D30}" name="unite" dataDxfId="150"/>
    <tableColumn id="5" xr3:uid="{CDCD777C-7500-409C-BDCB-A2EE44F21C43}" name="description" dataDxfId="14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8AA44CB-0410-4F64-B240-C510D1461C23}" name="Tableau5" displayName="Tableau5" ref="A65:G67" totalsRowShown="0" headerRowDxfId="148" dataDxfId="147">
  <autoFilter ref="A65:G67" xr:uid="{58AA44CB-0410-4F64-B240-C510D1461C23}"/>
  <tableColumns count="7">
    <tableColumn id="1" xr3:uid="{03D7D815-8C8E-4734-9E75-E48157F2DD1E}" name="id" dataDxfId="146"/>
    <tableColumn id="2" xr3:uid="{5EBFDF9F-6EE2-452F-9825-AF24E516C179}" name="id_indicateur" dataDxfId="145"/>
    <tableColumn id="3" xr3:uid="{E53AE4A0-1618-4B46-97FB-4BE085A73B62}" name="id_region" dataDxfId="144"/>
    <tableColumn id="4" xr3:uid="{91A612B3-F89C-4880-8486-0E8E5987E3A0}" name="id_periode" dataDxfId="143"/>
    <tableColumn id="5" xr3:uid="{691A60F5-FC7C-4619-923C-053F36FCF129}" name="valeur" dataDxfId="142"/>
    <tableColumn id="6" xr3:uid="{33DC2D6E-91BE-4A57-84FE-CD243F3BB3BC}" name="tendance" dataDxfId="141"/>
    <tableColumn id="7" xr3:uid="{AACBCF96-7FD3-46E4-B48D-C3AA1DDAD3C6}" name="commentaire" dataDxfId="14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57535DD-DD39-4248-A314-F180EC7FA470}" name="Tableau9" displayName="Tableau9" ref="A81:G97" totalsRowShown="0" headerRowDxfId="139">
  <autoFilter ref="A81:G97" xr:uid="{757535DD-DD39-4248-A314-F180EC7FA470}"/>
  <tableColumns count="7">
    <tableColumn id="1" xr3:uid="{1ED95EDE-C64D-4BFE-918C-10785D764C31}" name="🔷 Industrie" dataDxfId="138"/>
    <tableColumn id="2" xr3:uid="{63798D14-0620-4570-A868-00D8E1C3B908}" name="Trimestre 1"/>
    <tableColumn id="3" xr3:uid="{1F1DE00C-AE1C-445D-B5C4-559B995668B8}" name="Trimestre 2"/>
    <tableColumn id="4" xr3:uid="{5F98A309-4288-4C52-9B17-1485430AE602}" name="Trimestre 3"/>
    <tableColumn id="5" xr3:uid="{7DFF8CEE-A19A-4C4D-A587-2CD015BF4FD6}" name="Trimestre 4"/>
    <tableColumn id="6" xr3:uid="{38CB7939-3BDA-4FE3-B3CC-5633B4ADCAB6}" name="Colonne1"/>
    <tableColumn id="7" xr3:uid="{8157B84E-CC0F-4F33-A31F-B4DAE7908F80}" name="Colonne2"/>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82BBA2C-C272-4484-B0A7-4A04C20F4E6C}" name="Tableau10" displayName="Tableau10" ref="A100:G118" totalsRowShown="0">
  <autoFilter ref="A100:G118" xr:uid="{782BBA2C-C272-4484-B0A7-4A04C20F4E6C}"/>
  <tableColumns count="7">
    <tableColumn id="1" xr3:uid="{8845C430-E141-455D-90E9-853E90A07DE3}" name="🔷 Commerce" dataDxfId="137"/>
    <tableColumn id="2" xr3:uid="{0602ACDF-D723-4E27-9D2B-33CC6BB3066D}" name="Colonne1"/>
    <tableColumn id="3" xr3:uid="{2D5A0D0F-BB0B-4B10-9BA1-8536FD31C45C}" name="Colonne2"/>
    <tableColumn id="4" xr3:uid="{CA33707B-83A7-4E33-B02E-5DE4B0517317}" name="Colonne3"/>
    <tableColumn id="5" xr3:uid="{A9D9B0BF-3B53-4D7C-90E1-0D1266EE3B58}" name="Colonne4"/>
    <tableColumn id="6" xr3:uid="{79AC6758-8C19-4F64-A184-1F3AFB509071}" name="Colonne5"/>
    <tableColumn id="7" xr3:uid="{B7B49E90-0C39-4443-80E6-62B3F23F65D4}" name="Colonne6"/>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0B4F723-2D01-4E04-B306-6FADEBA5DE34}" name="Tableau11" displayName="Tableau11" ref="A124:H126" totalsRowShown="0" headerRowDxfId="136" dataDxfId="135">
  <autoFilter ref="A124:H126" xr:uid="{C0B4F723-2D01-4E04-B306-6FADEBA5DE34}"/>
  <tableColumns count="8">
    <tableColumn id="1" xr3:uid="{422C2306-28EE-44A3-8426-9AD2A9586B62}" name="Année" dataDxfId="134"/>
    <tableColumn id="2" xr3:uid="{AB6B9962-08BA-4E5F-B466-E753073BF5CA}" name="Trimestre" dataDxfId="133"/>
    <tableColumn id="3" xr3:uid="{7C3935D4-26E4-47B6-BDA9-79DA67BD6D5C}" name="Région" dataDxfId="132"/>
    <tableColumn id="4" xr3:uid="{455CAEAE-D781-40B1-9D49-9D97264C9FD0}" name="Secteur" dataDxfId="131"/>
    <tableColumn id="5" xr3:uid="{385E60C0-3BB4-4F45-BD72-3E137795984E}" name="Indicateur" dataDxfId="130"/>
    <tableColumn id="6" xr3:uid="{A5AC556C-9716-49BB-8105-A16C2F6D944E}" name="Valeur" dataDxfId="129"/>
    <tableColumn id="7" xr3:uid="{10D35439-3CCA-4743-8ED8-D21F6C0B91C4}" name="Tendance" dataDxfId="128"/>
    <tableColumn id="8" xr3:uid="{F1AD8C19-81C2-4493-89CB-634056A45C82}" name="Commentaire" dataDxfId="127"/>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3693BC4-CED2-4957-9A5B-9AADD12B2E24}" name="Tableau12" displayName="Tableau12" ref="A133:D134" totalsRowShown="0" headerRowDxfId="126" dataDxfId="125">
  <autoFilter ref="A133:D134" xr:uid="{13693BC4-CED2-4957-9A5B-9AADD12B2E24}"/>
  <tableColumns count="4">
    <tableColumn id="1" xr3:uid="{8C101346-C45D-4678-A793-0034EAE7928C}" name="Période" dataDxfId="124"/>
    <tableColumn id="2" xr3:uid="{F328769D-66C6-49AC-A3FB-608F50A8634D}" name="Industrie" dataDxfId="123"/>
    <tableColumn id="3" xr3:uid="{05F7E564-28E3-45F5-A8A2-0E46D6C0C102}" name="Commerce" dataDxfId="122"/>
    <tableColumn id="4" xr3:uid="{D30CFCAF-5051-48EE-ADE4-6171C36A1FB9}" name="IBIC" dataDxfId="121"/>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1E4ACE1-0708-421F-95B9-20C3CCF61873}" name="Tableau13" displayName="Tableau13" ref="A141:I150" totalsRowShown="0" headerRowDxfId="120" dataDxfId="119">
  <autoFilter ref="A141:I150" xr:uid="{F1E4ACE1-0708-421F-95B9-20C3CCF61873}"/>
  <tableColumns count="9">
    <tableColumn id="1" xr3:uid="{C2FDB4E4-3173-4D96-9C2E-2CE88EFC632C}" name="SECTEURS" dataDxfId="118"/>
    <tableColumn id="2" xr3:uid="{FE32CDFF-AB14-4ACF-A9E2-140944122F63}" name="REGIONS" dataDxfId="117"/>
    <tableColumn id="3" xr3:uid="{5A5E05F5-E3BD-4723-B852-A5CF83E7E964}" name="PERIODES" dataDxfId="116"/>
    <tableColumn id="4" xr3:uid="{12DF7A08-A2EE-4DF6-B0E7-74B3F00A71BE}" name="INDICATEURS" dataDxfId="115"/>
    <tableColumn id="5" xr3:uid="{312DFEA8-1C8C-46BB-B3CE-6CAA5B2C6CA0}" name="VALEURS_INDICATEURS" dataDxfId="114"/>
    <tableColumn id="6" xr3:uid="{0F49881C-040B-4081-8AEB-272D4A1DA1AF}" name="CONTRAINTES" dataDxfId="113"/>
    <tableColumn id="7" xr3:uid="{A2140C97-431E-43C8-93CA-8E4DCADF5019}" name="PERSPECTIVES" dataDxfId="112"/>
    <tableColumn id="8" xr3:uid="{21471B8A-E08B-4C24-A2A2-C814D588A5B9}" name="INDICE_BAROMETRE" dataDxfId="111"/>
    <tableColumn id="9" xr3:uid="{F492F801-DD9F-4575-A774-B9DDD1DA045B}" name="PUBLICATIONS" dataDxfId="110"/>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F75E117-03C5-4F27-A5E7-2EFF244049B3}" name="Tableau15" displayName="Tableau15" ref="A2040:E2047" totalsRowShown="0">
  <autoFilter ref="A2040:E2047" xr:uid="{4F75E117-03C5-4F27-A5E7-2EFF244049B3}"/>
  <tableColumns count="5">
    <tableColumn id="1" xr3:uid="{F214B36B-00B9-4163-992D-9B7C1CF63A65}" name="Production" dataDxfId="109"/>
    <tableColumn id="2" xr3:uid="{8BB1574A-51F0-4281-9D8A-5649748768F9}" name="Colonne1"/>
    <tableColumn id="3" xr3:uid="{30DFB2D3-20EB-48FF-B277-077D2711F379}" name="Colonne2"/>
    <tableColumn id="4" xr3:uid="{29CA81E3-E3F0-480C-AD1A-F4588E4E170C}" name="Colonne3"/>
    <tableColumn id="5" xr3:uid="{FEE6D7C8-A332-43F9-B610-C8357768A667}" name="Colonne4"/>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AB28F0A-3A12-484B-AEAC-89D3BBA0F31B}" name="Tableau16" displayName="Tableau16" ref="A2031:E2035" totalsRowShown="0">
  <autoFilter ref="A2031:E2035" xr:uid="{8AB28F0A-3A12-484B-AEAC-89D3BBA0F31B}"/>
  <tableColumns count="5">
    <tableColumn id="1" xr3:uid="{03A2BE0F-F81E-460B-A370-E517B16986A9}" name="Activité économique" dataDxfId="108"/>
    <tableColumn id="2" xr3:uid="{BF8F6812-0946-4BD1-889D-FCC175523750}" name="Colonne1"/>
    <tableColumn id="3" xr3:uid="{C8DBA42B-D7E4-437B-9C1A-5E5BFFB5454C}" name="Colonne2"/>
    <tableColumn id="4" xr3:uid="{DF018493-1A2B-45FA-B04B-DE2186167126}" name="Colonne3"/>
    <tableColumn id="5" xr3:uid="{19777342-3521-4ABA-B2B1-A060155DBA06}" name="Colonne4"/>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7D05852-2990-405A-AE30-4BCCC93F9049}" name="Tableau17" displayName="Tableau17" ref="A46:D49" totalsRowShown="0" headerRowDxfId="107">
  <autoFilter ref="A46:D49" xr:uid="{17D05852-2990-405A-AE30-4BCCC93F9049}"/>
  <tableColumns count="4">
    <tableColumn id="1" xr3:uid="{853D6DC7-DB61-4DEC-8B47-F4938E2DF234}" name="Période" dataDxfId="106"/>
    <tableColumn id="2" xr3:uid="{A1DA522C-25AB-4549-8FF8-985A7054A67E}" name="Indicateur" dataDxfId="105"/>
    <tableColumn id="3" xr3:uid="{0B463580-76B0-46F7-8664-EB0C3B900CAC}" name="Valeur / Observation" dataDxfId="104"/>
    <tableColumn id="4" xr3:uid="{181EA6ED-027E-49DC-BC1E-9446985E3AEA}" name="Source" dataDxfId="103" dataCellStyle="Lien hypertext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F8F90A5-C85F-44B2-82D5-999416D41B4C}" name="Tableau18" displayName="Tableau18" ref="A17:F20" totalsRowShown="0" headerRowDxfId="102" dataDxfId="101">
  <autoFilter ref="A17:F20" xr:uid="{4F8F90A5-C85F-44B2-82D5-999416D41B4C}"/>
  <tableColumns count="6">
    <tableColumn id="1" xr3:uid="{2A594FBC-6C11-4942-9C5B-655A52180039}" name="Indicateur" dataDxfId="100"/>
    <tableColumn id="2" xr3:uid="{6C51DB88-03A6-45C6-BBAD-B456610937D5}" name="Unité" dataDxfId="99"/>
    <tableColumn id="3" xr3:uid="{4B8432D3-EA07-4534-A35F-6BFFE3824CF8}" name="Période" dataDxfId="98"/>
    <tableColumn id="4" xr3:uid="{6218F25D-6D0E-4649-94FA-40A1409ECD91}" name="Source" dataDxfId="97"/>
    <tableColumn id="5" xr3:uid="{52379165-313A-4B7B-9BF8-EB96EE95CADC}" name="Valeur (année/variation)" dataDxfId="96"/>
    <tableColumn id="6" xr3:uid="{5F9B9133-DCA2-4844-B1CF-FAEDEFC0E58F}" name="Fréquence" dataDxfId="95"/>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27E6560-091C-4DCF-BC75-B96759FF098D}" name="Tableau20" displayName="Tableau20" ref="A25:I34" totalsRowShown="0" headerRowDxfId="94" dataDxfId="93">
  <autoFilter ref="A25:I34" xr:uid="{027E6560-091C-4DCF-BC75-B96759FF098D}"/>
  <tableColumns count="9">
    <tableColumn id="1" xr3:uid="{A206FEB3-7C2F-41A0-96B6-280B27EFCB4F}" name="Indicateur" dataDxfId="92"/>
    <tableColumn id="2" xr3:uid="{4AEFB08B-4171-413E-838D-4C595788AD89}" name="Unité" dataDxfId="91"/>
    <tableColumn id="3" xr3:uid="{A3E300D6-327D-4455-A976-5A8ED4717E35}" name="Période de suivi" dataDxfId="90"/>
    <tableColumn id="4" xr3:uid="{0D26D560-25D2-43D1-B3A7-76877BF6DE18}" name="Source de données" dataDxfId="89"/>
    <tableColumn id="5" xr3:uid="{3EC11E83-8E71-4CCC-B859-82F1623DE637}" name="Fréquence" dataDxfId="88"/>
    <tableColumn id="6" xr3:uid="{D66E9A09-9C77-4567-B002-40557B28385B}" name="Responsable" dataDxfId="87"/>
    <tableColumn id="7" xr3:uid="{6A7F45A2-1C23-4B5F-BBA9-6896CFF99EB6}" name="Objectif de suivi" dataDxfId="86"/>
    <tableColumn id="8" xr3:uid="{CC5699FE-000A-4A9F-A623-E63B018F8671}" name="Méthode de calcul" dataDxfId="85"/>
    <tableColumn id="9" xr3:uid="{F6F2C4BC-125F-4402-9BBB-276AC0F61365}" name="Seuils / Cibles" dataDxfId="84"/>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BA6C707-AAB7-449C-836B-820DF993F249}" name="Tableau21" displayName="Tableau21" ref="A2:F14" totalsRowShown="0" headerRowDxfId="83">
  <autoFilter ref="A2:F14" xr:uid="{FBA6C707-AAB7-449C-836B-820DF993F249}"/>
  <tableColumns count="6">
    <tableColumn id="1" xr3:uid="{1B71EC00-98FD-483A-8BA5-A82D8A715174}" name="Sous-secteur" dataDxfId="82"/>
    <tableColumn id="2" xr3:uid="{E18608C3-4DF8-4D2F-A25B-846BCEF1C4B5}" name="Poids (%)"/>
    <tableColumn id="3" xr3:uid="{D765A83B-1D1C-4FC9-A9BC-9B9F27539EA4}" name="Production Base (T0) "/>
    <tableColumn id="4" xr3:uid="{EE00457F-7C34-4DCD-B74E-ED5D18C7D730}" name="Production Trimestre (Tn)"/>
    <tableColumn id="5" xr3:uid="{1CE08FC3-F6EF-4631-AB7D-C40C9402D2CF}" name="IPI Sous-secteur"/>
    <tableColumn id="6" xr3:uid="{C5D0A39E-6593-40A1-BEAD-6E86340276DC}" name="Colonne1"/>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2C19E1D0-ED92-4BB7-ACF7-9820F65AB54A}" name="Tableau22" displayName="Tableau22" ref="A59:C66" totalsRowShown="0" headerRowDxfId="81">
  <autoFilter ref="A59:C66" xr:uid="{2C19E1D0-ED92-4BB7-ACF7-9820F65AB54A}"/>
  <tableColumns count="3">
    <tableColumn id="1" xr3:uid="{8D5AF24C-521B-4BBC-93BD-6CB2E47D5184}" name="Sous‑secteur" dataDxfId="80"/>
    <tableColumn id="2" xr3:uid="{1550CEDF-DBBC-47F3-9835-C74FC9B56A3E}" name="Données disponibles" dataDxfId="79"/>
    <tableColumn id="3" xr3:uid="{4EE0ABF1-03B9-4F09-BA75-645794DA6C72}" name="Remarque" dataDxfId="78"/>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B8475D5-543E-4539-A3FE-6F9F6127A07B}" name="Tableau23" displayName="Tableau23" ref="A53:B56" totalsRowShown="0" headerRowDxfId="77" dataDxfId="76">
  <autoFilter ref="A53:B56" xr:uid="{6B8475D5-543E-4539-A3FE-6F9F6127A07B}"/>
  <tableColumns count="2">
    <tableColumn id="1" xr3:uid="{844AA9D4-8153-466B-85BB-5E74636FB76D}" name="Sous‑secteur industriel" dataDxfId="75"/>
    <tableColumn id="2" xr3:uid="{B46DA47F-60DF-4FE9-B3CD-8F6EE366325F}" name="Part estimée dans le total de l’industrie guinéenne" dataDxfId="74"/>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1DF39D4-6BDA-478F-AEB7-3AFA1B23A2E4}" name="Tableau19" displayName="Tableau19" ref="A2:J11" totalsRowShown="0" headerRowDxfId="73" dataDxfId="72">
  <autoFilter ref="A2:J11" xr:uid="{41DF39D4-6BDA-478F-AEB7-3AFA1B23A2E4}"/>
  <tableColumns count="10">
    <tableColumn id="1" xr3:uid="{36FE6D31-9883-4922-B6C8-57B2424A856E}" name="Indicateur" dataDxfId="71"/>
    <tableColumn id="2" xr3:uid="{1633F287-DDF8-4022-A7BA-E69F06B82923}" name="Unité" dataDxfId="70"/>
    <tableColumn id="3" xr3:uid="{F10049E3-803E-4A7C-89AA-8B6C5F35C5D5}" name="T1‑2025" dataDxfId="69"/>
    <tableColumn id="4" xr3:uid="{6C3337E2-4217-4523-8E20-510C9242ED53}" name="T2‑2025" dataDxfId="68"/>
    <tableColumn id="5" xr3:uid="{2562E3B5-9DA2-4395-BB7C-8631F0524BDD}" name="T3‑2025" dataDxfId="67"/>
    <tableColumn id="6" xr3:uid="{13D152E9-0B33-474D-BA1C-85EF5DA815BB}" name="T4‑2025 (à compléter)" dataDxfId="66"/>
    <tableColumn id="7" xr3:uid="{6E9DE5D7-CF35-420E-9449-4D6B24A64B5B}" name="T1‑2026 (à compléter)" dataDxfId="65"/>
    <tableColumn id="8" xr3:uid="{19780E3D-312B-437E-A328-5CDEE33804AA}" name="Source" dataDxfId="64"/>
    <tableColumn id="9" xr3:uid="{0C453EB7-910A-4D82-85E5-0C5ED2EA6B10}" name="Fréquence" dataDxfId="63"/>
    <tableColumn id="10" xr3:uid="{6A1C6A0E-20F1-452D-81D6-D663CD09B7E9}" name="Objectif / Seuil" dataDxfId="62"/>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5147D5E-AE1A-490F-ACEC-E755DCFDB8B9}" name="Tableau32" displayName="Tableau32" ref="A13:I17" totalsRowShown="0" headerRowDxfId="61" dataDxfId="59" headerRowBorderDxfId="60">
  <autoFilter ref="A13:I17" xr:uid="{85147D5E-AE1A-490F-ACEC-E755DCFDB8B9}"/>
  <tableColumns count="9">
    <tableColumn id="1" xr3:uid="{12CFF1D3-F600-4FCD-B96E-587E206153D3}" name="Sous-secteur" dataDxfId="58"/>
    <tableColumn id="2" xr3:uid="{588C84CE-B4AA-4F1D-A357-379A5D7EF0AF}" name="Poids (%)" dataDxfId="57"/>
    <tableColumn id="3" xr3:uid="{A5BECB14-0A1D-486E-A1F2-E13642EFA9F3}" name="Production Base (T0)" dataDxfId="56"/>
    <tableColumn id="4" xr3:uid="{7412578B-35BA-48FC-BDF4-F7CB5C670989}" name="Production Trimestre (Tn)" dataDxfId="55"/>
    <tableColumn id="5" xr3:uid="{C431C737-A48F-4752-A807-1D169F315A8A}" name="IPI Sous-secteur" dataDxfId="54"/>
    <tableColumn id="6" xr3:uid="{1635346D-6DB0-48FC-96B5-165BC30F046C}" name="Valeur ajoutée (USD)" dataDxfId="53"/>
    <tableColumn id="7" xr3:uid="{8CE9049D-5842-4763-A53B-B245C9E48182}" name="Part dans l’industrie (%)" dataDxfId="52"/>
    <tableColumn id="8" xr3:uid="{40EFE0F8-53B7-4BE0-B9EC-F1D8D7C5958D}" name="Source" dataDxfId="51"/>
    <tableColumn id="9" xr3:uid="{E8FA0702-6EBD-4474-9DF4-FBB2DC44FAC6}" name="Commentaires" dataDxfId="50"/>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3EA843C-FDBA-4D98-A82A-22D374693280}" name="Tableau24" displayName="Tableau24" ref="A2:G6" totalsRowShown="0" headerRowDxfId="49">
  <autoFilter ref="A2:G6" xr:uid="{53EA843C-FDBA-4D98-A82A-22D374693280}"/>
  <tableColumns count="7">
    <tableColumn id="1" xr3:uid="{B525832F-B9C1-4974-B97C-16A24E820351}" name="Indicateur" dataDxfId="48"/>
    <tableColumn id="2" xr3:uid="{51473028-D311-4176-AB30-C51AE0466C78}" name="Métrique" dataDxfId="47"/>
    <tableColumn id="3" xr3:uid="{00DCE9F0-5FEB-41E6-AEE9-0DB89ADE4631}" name="Formule Excel" dataDxfId="46"/>
    <tableColumn id="4" xr3:uid="{3EEE465A-C610-4898-BFCF-D75F7530ECDD}" name="Trimestre 1"/>
    <tableColumn id="5" xr3:uid="{2FB82762-2985-44C3-8755-79A5A206D860}" name="Trimestre 2"/>
    <tableColumn id="6" xr3:uid="{8FFBB0D8-DD1B-43C0-8426-6E9A2D63241C}" name="Trimestre 3"/>
    <tableColumn id="7" xr3:uid="{0A511C3B-90C4-4AD5-8E91-855FCD250DD6}" name="Trimestre 4"/>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8D1F801-7FC8-439D-87EB-78A60AE7F7DE}" name="Tableau25" displayName="Tableau25" ref="A2:G6" totalsRowShown="0" headerRowDxfId="45">
  <autoFilter ref="A2:G6" xr:uid="{F8D1F801-7FC8-439D-87EB-78A60AE7F7DE}"/>
  <tableColumns count="7">
    <tableColumn id="1" xr3:uid="{D80DCA9D-11F8-4259-BE9B-AA2491C9BCCD}" name="Indicateur" dataDxfId="44"/>
    <tableColumn id="2" xr3:uid="{5968ECBD-BAFE-4B1B-95A0-CC2F24308308}" name="Métrique" dataDxfId="43"/>
    <tableColumn id="3" xr3:uid="{B9FA9F19-171E-47BA-81A8-E59F4D77DAC6}" name="Formule Excel" dataDxfId="42"/>
    <tableColumn id="4" xr3:uid="{762453A9-0D1A-4EBC-8DDF-F59894039D80}" name="Trimestre 1"/>
    <tableColumn id="5" xr3:uid="{5B569457-6508-4BC3-A2AF-710D382813C9}" name="Trimestre 2"/>
    <tableColumn id="6" xr3:uid="{E0F8BE42-7F07-4445-884A-BDEF85964C42}" name="Trimestre 3"/>
    <tableColumn id="7" xr3:uid="{416CB826-03B8-4B9D-9748-793570F4F132}" name="Trimestre 4"/>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63F8249A-2240-4FE5-BECE-ABAA8B596446}" name="Tableau2632" displayName="Tableau2632" ref="A2:G6" totalsRowShown="0" headerRowDxfId="41">
  <autoFilter ref="A2:G6" xr:uid="{63F8249A-2240-4FE5-BECE-ABAA8B596446}"/>
  <tableColumns count="7">
    <tableColumn id="1" xr3:uid="{B2773D73-CCC7-4E27-BDD0-08BC4701F52F}" name="Indicateur" dataDxfId="40"/>
    <tableColumn id="2" xr3:uid="{D8C429E7-930A-4800-B0F8-79378E43D22A}" name="Métrique" dataDxfId="39"/>
    <tableColumn id="3" xr3:uid="{C84596CA-AF04-4C9B-951A-E647AAD04BA8}" name="Formule Excel" dataDxfId="38"/>
    <tableColumn id="4" xr3:uid="{09FF0CE0-5027-4511-BD77-3DB65DB1967F}" name="Trimestre 1"/>
    <tableColumn id="5" xr3:uid="{4BDDD365-1E6D-459E-A3D8-51527314BA0F}" name="Trimestre 2"/>
    <tableColumn id="6" xr3:uid="{9F9DD016-E989-4154-9D3F-95123B68D7E4}" name="Trimestre 3"/>
    <tableColumn id="7" xr3:uid="{CB97C02E-D99B-44A6-BEAD-B062EB55A24D}" name="Trimestre 4"/>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A572C06F-DCFC-43AC-A776-F5360AD8C9C9}" name="Tableau27" displayName="Tableau27" ref="A2:G5" totalsRowShown="0" headerRowDxfId="37">
  <autoFilter ref="A2:G5" xr:uid="{A572C06F-DCFC-43AC-A776-F5360AD8C9C9}"/>
  <tableColumns count="7">
    <tableColumn id="1" xr3:uid="{048FE8CB-DF8F-4687-93ED-4881D6A4F69E}" name="Indicateur" dataDxfId="36"/>
    <tableColumn id="2" xr3:uid="{F4F24C9F-8644-4978-B955-4D1768EDECA7}" name="Métrique" dataDxfId="35"/>
    <tableColumn id="3" xr3:uid="{0EB7C64D-B6D1-4215-8C67-F1055DF2306B}" name="Formule Excel" dataDxfId="34"/>
    <tableColumn id="4" xr3:uid="{25D43922-046D-4396-B296-73387B8DCD57}" name="Trimestre 1"/>
    <tableColumn id="5" xr3:uid="{C90F3FAE-C26E-40A7-B969-EDE7324AB9F1}" name="Trimestre 2"/>
    <tableColumn id="6" xr3:uid="{572BEB39-02BE-4043-941E-489193DB2B86}" name="Trimestre 3"/>
    <tableColumn id="7" xr3:uid="{A5D03235-FA2E-4F34-8083-8421F887CB67}" name="Trimestre 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FB34876-1A3E-4366-8947-B589A429EB53}" name="Tableau28" displayName="Tableau28" ref="A2:G5" totalsRowShown="0" headerRowDxfId="33">
  <autoFilter ref="A2:G5" xr:uid="{CFB34876-1A3E-4366-8947-B589A429EB53}"/>
  <tableColumns count="7">
    <tableColumn id="1" xr3:uid="{4C51A730-1B28-42DD-B77A-5A9F32AF794E}" name="Indicateur" dataDxfId="32"/>
    <tableColumn id="2" xr3:uid="{488BC9DD-5C9A-493F-A2D2-FF3817964EF9}" name="Métrique" dataDxfId="31"/>
    <tableColumn id="3" xr3:uid="{F3D63659-E200-4274-96DF-880888DACD58}" name="Formule Excel" dataDxfId="30"/>
    <tableColumn id="4" xr3:uid="{DD97CBFA-E85C-4F6A-B7F6-61993DCE1F26}" name="Trimestre 1"/>
    <tableColumn id="5" xr3:uid="{AF38A1CC-FCE9-4F4B-B339-075B63F1A19D}" name="Trimestre 2"/>
    <tableColumn id="6" xr3:uid="{623D12D6-DB95-4D2F-A1BB-56F09DBEA920}" name="Trimestre 3"/>
    <tableColumn id="7" xr3:uid="{AB496752-7870-45FB-B99A-FB633F53C5F5}" name="Trimestre 4"/>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5B6C1017-F273-4E18-A09B-02375053F32D}" name="Tableau29" displayName="Tableau29" ref="A2:G6" totalsRowShown="0" headerRowDxfId="29">
  <autoFilter ref="A2:G6" xr:uid="{5B6C1017-F273-4E18-A09B-02375053F32D}"/>
  <tableColumns count="7">
    <tableColumn id="1" xr3:uid="{8393351C-97D2-42ED-A8BC-8494954D56EA}" name="Indicateur" dataDxfId="28"/>
    <tableColumn id="2" xr3:uid="{E68689BC-913C-479D-9AF9-D7438319D105}" name="Métrique" dataDxfId="27"/>
    <tableColumn id="3" xr3:uid="{0E859AE1-711D-428A-A71B-43AC3E6CE405}" name="Formule Excel" dataDxfId="26"/>
    <tableColumn id="4" xr3:uid="{09BC9B2A-F457-47A5-905F-40284BE306CD}" name="Trimestre 1"/>
    <tableColumn id="5" xr3:uid="{D5EED3FF-2948-4C25-BBD3-E5DC811978E7}" name="Trimestre 2"/>
    <tableColumn id="6" xr3:uid="{9E1A2393-30B3-41B1-8188-BD8F4EF65EC3}" name="Trimestre 3"/>
    <tableColumn id="7" xr3:uid="{2261FA55-05C0-4063-ACCF-F54154ABF5C4}" name="Trimestre 4"/>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C1D2550-54BF-4753-9176-E2034872BEB1}" name="Tableau30" displayName="Tableau30" ref="A2:G6" totalsRowShown="0" headerRowDxfId="25">
  <autoFilter ref="A2:G6" xr:uid="{0C1D2550-54BF-4753-9176-E2034872BEB1}"/>
  <tableColumns count="7">
    <tableColumn id="1" xr3:uid="{391056B9-0A5E-4B4C-ACC9-8296193C2647}" name="Indicateur" dataDxfId="24"/>
    <tableColumn id="2" xr3:uid="{B64681EF-8149-4736-950C-907BA38E0235}" name="Métrique" dataDxfId="23"/>
    <tableColumn id="3" xr3:uid="{1CA7D0AF-BE2C-4CB4-A2C4-B4C88BEA1FFA}" name="Formule Excel" dataDxfId="22"/>
    <tableColumn id="4" xr3:uid="{C2D7C2C4-9246-412D-BA86-A64A2F2DD8F2}" name="Trimestre 1"/>
    <tableColumn id="5" xr3:uid="{82830AE1-D866-47C1-9F14-19DE0CAFCA9B}" name="Trimestre 2"/>
    <tableColumn id="6" xr3:uid="{DDA78B9F-507E-44DE-A568-78AE1D3B0FC6}" name="Trimestre 3"/>
    <tableColumn id="7" xr3:uid="{FE73E13C-86CA-4E53-BC71-B92A8A1658E0}" name="Trimestre 4"/>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15D9070-138A-40A4-8D20-F5BF0170066F}" name="Tableau6" displayName="Tableau6" ref="A3:C11" totalsRowShown="0" headerRowDxfId="21" dataDxfId="20">
  <autoFilter ref="A3:C11" xr:uid="{F15D9070-138A-40A4-8D20-F5BF0170066F}"/>
  <tableColumns count="3">
    <tableColumn id="1" xr3:uid="{A1E59223-B943-49F8-B071-8EFDF107CB6A}" name="id_contrainte" dataDxfId="19"/>
    <tableColumn id="2" xr3:uid="{CE9DA1C5-495B-4619-81FC-3D6A4A1CD401}" name="nom_contrainte" dataDxfId="18"/>
    <tableColumn id="3" xr3:uid="{5F759048-DC71-466E-807E-D271353C45BE}" name="Somme des scores par unité" dataDxfId="17"/>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F93954D-A9C6-4F8D-B8D1-3EBE006BDEBB}" name="Tableau7" displayName="Tableau7" ref="A14:F20" totalsRowShown="0" headerRowDxfId="16" dataDxfId="15">
  <autoFilter ref="A14:F20" xr:uid="{8F93954D-A9C6-4F8D-B8D1-3EBE006BDEBB}"/>
  <tableColumns count="6">
    <tableColumn id="1" xr3:uid="{67FB56D7-3BC3-4CE5-89E5-28762F21ACC6}" name="id" dataDxfId="14"/>
    <tableColumn id="2" xr3:uid="{E38FD0B1-0CEB-46B0-A915-691CB241C099}" name="id_contrainte" dataDxfId="13"/>
    <tableColumn id="3" xr3:uid="{5E005324-56B6-4FCB-8037-5ADCC366D4F7}" name="id_secteur" dataDxfId="12"/>
    <tableColumn id="4" xr3:uid="{0FC5BE5D-7BED-4458-AC4C-EC4FBD90FF03}" name="id_region" dataDxfId="11"/>
    <tableColumn id="5" xr3:uid="{FF1E47EE-9808-4D84-B629-28C67A486866}" name="id_periode" dataDxfId="10"/>
    <tableColumn id="6" xr3:uid="{B2721796-395E-4C4F-8255-49030B2D6255}" name="score" dataDxfId="9"/>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D3AF636-092A-44D5-B6BF-7980FDDB6649}" name="Tableau8" displayName="Tableau8" ref="A3:G4" totalsRowShown="0" headerRowDxfId="8" dataDxfId="7">
  <autoFilter ref="A3:G4" xr:uid="{8D3AF636-092A-44D5-B6BF-7980FDDB6649}"/>
  <tableColumns count="7">
    <tableColumn id="1" xr3:uid="{C046A80B-FDA7-48EB-B89E-69E33743CA92}" name="id" dataDxfId="6"/>
    <tableColumn id="2" xr3:uid="{55D06121-7967-465A-88BE-40B4EAA1E3AA}" name="secteur" dataDxfId="5"/>
    <tableColumn id="3" xr3:uid="{A983B9FA-663D-46D9-AF59-260E99E0D8AA}" name="region" dataDxfId="4"/>
    <tableColumn id="4" xr3:uid="{683CE7F1-4457-4F54-A36B-E478FB18A8C6}" name="periode" dataDxfId="3"/>
    <tableColumn id="5" xr3:uid="{B812A2BE-2931-4C90-BBD9-AB8D160FBDA6}" name="optimiste" dataDxfId="2"/>
    <tableColumn id="6" xr3:uid="{BA9CC7A2-9A62-48D6-9417-5A90FF76EF27}" name="stable" dataDxfId="1"/>
    <tableColumn id="7" xr3:uid="{9F012557-81C8-47DA-B653-366EA786FB96}" name="pessimiste" dataDxfId="0"/>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table" Target="../tables/table4.xml"/><Relationship Id="rId7" Type="http://schemas.openxmlformats.org/officeDocument/2006/relationships/table" Target="../tables/table8.xml"/><Relationship Id="rId12" Type="http://schemas.openxmlformats.org/officeDocument/2006/relationships/table" Target="../tables/table13.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s>
</file>

<file path=xl/worksheets/_rels/sheet3.xml.rels><?xml version="1.0" encoding="UTF-8" standalone="yes"?>
<Relationships xmlns="http://schemas.openxmlformats.org/package/2006/relationships"><Relationship Id="rId8" Type="http://schemas.openxmlformats.org/officeDocument/2006/relationships/table" Target="../tables/table16.xml"/><Relationship Id="rId3" Type="http://schemas.openxmlformats.org/officeDocument/2006/relationships/hyperlink" Target="https://www.stat-guinee.org/images/Documents/Publications/INS/infra_annuelles/IHPI/IPI_Info_Guine_T3_2025.pdf?utm_source=chatgpt.com" TargetMode="External"/><Relationship Id="rId7" Type="http://schemas.openxmlformats.org/officeDocument/2006/relationships/table" Target="../tables/table15.xml"/><Relationship Id="rId2" Type="http://schemas.openxmlformats.org/officeDocument/2006/relationships/hyperlink" Target="https://www.ecofinanceguinee.com/guinee-hausse-de-la-production-industrielle-au-t2-2025/?utm_source=chatgpt.com" TargetMode="External"/><Relationship Id="rId1" Type="http://schemas.openxmlformats.org/officeDocument/2006/relationships/hyperlink" Target="https://www.stat-guinee.org/images/Documents/Publications/INS/infra_annuelles/IHPI/IPI_Info_Guine_T1_2025.pdf?utm_source=chatgpt.com" TargetMode="External"/><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hyperlink" Target="https://fliphtml5.com/jmonx/nztk/Pre%CC%81sentation_Atlas_Industrie_Guine%CC%81e/?utm_source=chatgpt.com" TargetMode="External"/><Relationship Id="rId10" Type="http://schemas.openxmlformats.org/officeDocument/2006/relationships/table" Target="../tables/table18.xml"/><Relationship Id="rId4" Type="http://schemas.openxmlformats.org/officeDocument/2006/relationships/hyperlink" Target="https://fliphtml5.com/jmonx/nztk/Pre%CC%81sentation_Atlas_Industrie_Guine%CC%81e/?utm_source=chatgpt.com" TargetMode="External"/><Relationship Id="rId9" Type="http://schemas.openxmlformats.org/officeDocument/2006/relationships/table" Target="../tables/table17.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table" Target="../tables/table20.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table" Target="../tables/table2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8C1F5-E661-45F5-B973-F5B2F7078BFA}">
  <dimension ref="A1:I192"/>
  <sheetViews>
    <sheetView zoomScaleNormal="100" workbookViewId="0">
      <selection activeCell="B100" sqref="B100"/>
    </sheetView>
  </sheetViews>
  <sheetFormatPr baseColWidth="10" defaultRowHeight="15"/>
  <cols>
    <col min="1" max="1" width="86.28515625" customWidth="1"/>
    <col min="2" max="2" width="22.7109375" customWidth="1"/>
    <col min="3" max="3" width="19.42578125" customWidth="1"/>
    <col min="4" max="4" width="19.7109375" bestFit="1" customWidth="1"/>
    <col min="5" max="5" width="17.7109375" bestFit="1" customWidth="1"/>
    <col min="6" max="7" width="18.140625" bestFit="1" customWidth="1"/>
    <col min="8" max="8" width="19.42578125" customWidth="1"/>
    <col min="9" max="9" width="19.7109375" customWidth="1"/>
  </cols>
  <sheetData>
    <row r="1" spans="1:1">
      <c r="A1" s="1" t="s">
        <v>195</v>
      </c>
    </row>
    <row r="2" spans="1:1">
      <c r="A2" s="1" t="s">
        <v>196</v>
      </c>
    </row>
    <row r="3" spans="1:1">
      <c r="A3" s="1" t="s">
        <v>197</v>
      </c>
    </row>
    <row r="6" spans="1:1">
      <c r="A6" s="1" t="s">
        <v>198</v>
      </c>
    </row>
    <row r="7" spans="1:1">
      <c r="A7" s="1"/>
    </row>
    <row r="8" spans="1:1">
      <c r="A8" s="1" t="s">
        <v>199</v>
      </c>
    </row>
    <row r="9" spans="1:1">
      <c r="A9" s="1" t="s">
        <v>200</v>
      </c>
    </row>
    <row r="10" spans="1:1">
      <c r="A10" s="1" t="s">
        <v>201</v>
      </c>
    </row>
    <row r="11" spans="1:1">
      <c r="A11" s="10" t="s">
        <v>202</v>
      </c>
    </row>
    <row r="12" spans="1:1">
      <c r="A12" s="10" t="s">
        <v>203</v>
      </c>
    </row>
    <row r="13" spans="1:1">
      <c r="A13" s="10" t="s">
        <v>204</v>
      </c>
    </row>
    <row r="14" spans="1:1">
      <c r="A14" s="10" t="s">
        <v>205</v>
      </c>
    </row>
    <row r="15" spans="1:1">
      <c r="A15" s="10" t="s">
        <v>206</v>
      </c>
    </row>
    <row r="16" spans="1:1">
      <c r="A16" s="10" t="s">
        <v>207</v>
      </c>
    </row>
    <row r="17" spans="1:1">
      <c r="A17" s="10" t="s">
        <v>208</v>
      </c>
    </row>
    <row r="18" spans="1:1">
      <c r="A18" s="10" t="s">
        <v>1694</v>
      </c>
    </row>
    <row r="19" spans="1:1">
      <c r="A19" s="10" t="s">
        <v>1695</v>
      </c>
    </row>
    <row r="21" spans="1:1">
      <c r="A21" s="1" t="s">
        <v>209</v>
      </c>
    </row>
    <row r="22" spans="1:1">
      <c r="A22" s="1"/>
    </row>
    <row r="23" spans="1:1">
      <c r="A23" s="1" t="s">
        <v>210</v>
      </c>
    </row>
    <row r="24" spans="1:1">
      <c r="A24" s="1"/>
    </row>
    <row r="25" spans="1:1">
      <c r="A25" s="10" t="s">
        <v>211</v>
      </c>
    </row>
    <row r="26" spans="1:1" ht="120.75">
      <c r="A26" s="12" t="s">
        <v>212</v>
      </c>
    </row>
    <row r="27" spans="1:1" ht="69">
      <c r="A27" s="12" t="s">
        <v>213</v>
      </c>
    </row>
    <row r="28" spans="1:1" ht="51.75">
      <c r="A28" s="12" t="s">
        <v>214</v>
      </c>
    </row>
    <row r="29" spans="1:1" ht="17.25">
      <c r="A29" s="12"/>
    </row>
    <row r="30" spans="1:1" ht="51.75">
      <c r="A30" s="12" t="s">
        <v>215</v>
      </c>
    </row>
    <row r="31" spans="1:1" ht="17.25">
      <c r="A31" s="5" t="s">
        <v>216</v>
      </c>
    </row>
    <row r="32" spans="1:1" ht="17.25">
      <c r="A32" s="5" t="s">
        <v>217</v>
      </c>
    </row>
    <row r="33" spans="1:1" ht="17.25">
      <c r="A33" s="5" t="s">
        <v>218</v>
      </c>
    </row>
    <row r="34" spans="1:1" ht="17.25">
      <c r="A34" s="5" t="s">
        <v>219</v>
      </c>
    </row>
    <row r="35" spans="1:1" ht="17.25">
      <c r="A35" s="5" t="s">
        <v>220</v>
      </c>
    </row>
    <row r="36" spans="1:1" ht="17.25">
      <c r="A36" s="5" t="s">
        <v>221</v>
      </c>
    </row>
    <row r="37" spans="1:1" ht="17.25">
      <c r="A37" s="5" t="s">
        <v>222</v>
      </c>
    </row>
    <row r="38" spans="1:1" ht="17.25">
      <c r="A38" s="5" t="s">
        <v>223</v>
      </c>
    </row>
    <row r="39" spans="1:1" ht="17.25">
      <c r="A39" s="5" t="s">
        <v>224</v>
      </c>
    </row>
    <row r="40" spans="1:1" ht="17.25">
      <c r="A40" s="5" t="s">
        <v>225</v>
      </c>
    </row>
    <row r="41" spans="1:1" ht="17.25">
      <c r="A41" s="5"/>
    </row>
    <row r="42" spans="1:1" ht="34.5">
      <c r="A42" s="12" t="s">
        <v>226</v>
      </c>
    </row>
    <row r="43" spans="1:1" ht="17.25">
      <c r="A43" s="12"/>
    </row>
    <row r="44" spans="1:1" ht="69">
      <c r="A44" s="12" t="s">
        <v>227</v>
      </c>
    </row>
    <row r="45" spans="1:1" ht="51.75">
      <c r="A45" s="12" t="s">
        <v>228</v>
      </c>
    </row>
    <row r="46" spans="1:1" ht="17.25">
      <c r="A46" s="12"/>
    </row>
    <row r="47" spans="1:1">
      <c r="A47" s="10" t="s">
        <v>229</v>
      </c>
    </row>
    <row r="48" spans="1:1" ht="86.25">
      <c r="A48" s="12" t="s">
        <v>230</v>
      </c>
    </row>
    <row r="49" spans="1:1" ht="17.25">
      <c r="A49" s="12" t="s">
        <v>231</v>
      </c>
    </row>
    <row r="50" spans="1:1" ht="17.25">
      <c r="A50" s="5" t="s">
        <v>232</v>
      </c>
    </row>
    <row r="51" spans="1:1" ht="17.25">
      <c r="A51" s="5" t="s">
        <v>233</v>
      </c>
    </row>
    <row r="52" spans="1:1" ht="17.25">
      <c r="A52" s="5" t="s">
        <v>234</v>
      </c>
    </row>
    <row r="53" spans="1:1" ht="17.25">
      <c r="A53" s="5" t="s">
        <v>235</v>
      </c>
    </row>
    <row r="54" spans="1:1" ht="17.25">
      <c r="A54" s="5" t="s">
        <v>236</v>
      </c>
    </row>
    <row r="55" spans="1:1" ht="17.25">
      <c r="A55" s="12"/>
    </row>
    <row r="56" spans="1:1">
      <c r="A56" s="10" t="s">
        <v>237</v>
      </c>
    </row>
    <row r="57" spans="1:1" ht="17.25">
      <c r="A57" s="5" t="s">
        <v>238</v>
      </c>
    </row>
    <row r="58" spans="1:1" ht="17.25">
      <c r="A58" s="5" t="s">
        <v>239</v>
      </c>
    </row>
    <row r="59" spans="1:1" ht="17.25">
      <c r="A59" s="5" t="s">
        <v>240</v>
      </c>
    </row>
    <row r="60" spans="1:1" ht="17.25">
      <c r="A60" s="5" t="s">
        <v>241</v>
      </c>
    </row>
    <row r="61" spans="1:1" ht="17.25">
      <c r="A61" s="5" t="s">
        <v>242</v>
      </c>
    </row>
    <row r="62" spans="1:1" ht="17.25">
      <c r="A62" s="5" t="s">
        <v>243</v>
      </c>
    </row>
    <row r="63" spans="1:1" ht="17.25">
      <c r="A63" s="5" t="s">
        <v>244</v>
      </c>
    </row>
    <row r="64" spans="1:1" ht="17.25">
      <c r="A64" s="12"/>
    </row>
    <row r="65" spans="1:9">
      <c r="A65" s="10" t="s">
        <v>245</v>
      </c>
    </row>
    <row r="66" spans="1:9" ht="103.5">
      <c r="A66" s="12" t="s">
        <v>246</v>
      </c>
    </row>
    <row r="67" spans="1:9" ht="17.25">
      <c r="A67" s="12"/>
    </row>
    <row r="68" spans="1:9" ht="17.25">
      <c r="A68" s="12" t="s">
        <v>247</v>
      </c>
    </row>
    <row r="69" spans="1:9" ht="17.25">
      <c r="A69" s="12"/>
    </row>
    <row r="70" spans="1:9">
      <c r="A70" s="14" t="s">
        <v>248</v>
      </c>
    </row>
    <row r="71" spans="1:9" ht="34.5">
      <c r="A71" s="12" t="s">
        <v>249</v>
      </c>
    </row>
    <row r="72" spans="1:9" ht="51.75">
      <c r="A72" s="12" t="s">
        <v>250</v>
      </c>
    </row>
    <row r="73" spans="1:9" ht="35.1" customHeight="1">
      <c r="A73" s="45" t="s">
        <v>1696</v>
      </c>
      <c r="B73" s="45" t="s">
        <v>1697</v>
      </c>
      <c r="C73" s="45" t="s">
        <v>1698</v>
      </c>
      <c r="D73" s="45" t="s">
        <v>52</v>
      </c>
      <c r="E73" s="45" t="s">
        <v>160</v>
      </c>
      <c r="F73" s="45" t="s">
        <v>1699</v>
      </c>
      <c r="G73" s="45" t="s">
        <v>1078</v>
      </c>
      <c r="H73" s="45" t="s">
        <v>1684</v>
      </c>
      <c r="I73" s="45" t="s">
        <v>1685</v>
      </c>
    </row>
    <row r="74" spans="1:9" ht="35.1" customHeight="1">
      <c r="A74" s="44"/>
      <c r="B74" s="44"/>
      <c r="C74" s="44"/>
      <c r="D74" s="44"/>
      <c r="E74" s="44"/>
      <c r="F74" s="44"/>
      <c r="G74" s="44"/>
      <c r="H74" s="44"/>
      <c r="I74" s="44"/>
    </row>
    <row r="75" spans="1:9" ht="35.1" customHeight="1">
      <c r="A75" s="44"/>
      <c r="B75" s="44"/>
      <c r="C75" s="44"/>
      <c r="D75" s="44"/>
      <c r="E75" s="44"/>
      <c r="F75" s="44"/>
      <c r="G75" s="44"/>
      <c r="H75" s="44"/>
      <c r="I75" s="44"/>
    </row>
    <row r="76" spans="1:9" ht="35.1" customHeight="1">
      <c r="A76" s="44"/>
      <c r="B76" s="44"/>
      <c r="C76" s="44"/>
      <c r="D76" s="44"/>
      <c r="E76" s="44"/>
      <c r="F76" s="44"/>
      <c r="G76" s="44"/>
      <c r="H76" s="44"/>
      <c r="I76" s="44"/>
    </row>
    <row r="77" spans="1:9" ht="35.1" customHeight="1">
      <c r="A77" s="44"/>
      <c r="B77" s="44"/>
      <c r="C77" s="44"/>
      <c r="D77" s="44"/>
      <c r="E77" s="44"/>
      <c r="F77" s="44"/>
      <c r="G77" s="44"/>
      <c r="H77" s="44"/>
      <c r="I77" s="44"/>
    </row>
    <row r="78" spans="1:9" ht="35.1" customHeight="1">
      <c r="A78" s="44"/>
      <c r="B78" s="44"/>
      <c r="C78" s="44"/>
      <c r="D78" s="44"/>
      <c r="E78" s="44"/>
      <c r="F78" s="44"/>
      <c r="G78" s="44"/>
      <c r="H78" s="44"/>
      <c r="I78" s="44"/>
    </row>
    <row r="79" spans="1:9" ht="35.1" customHeight="1">
      <c r="A79" s="44"/>
      <c r="B79" s="44"/>
      <c r="C79" s="44"/>
      <c r="D79" s="44"/>
      <c r="E79" s="44"/>
      <c r="F79" s="44"/>
      <c r="G79" s="44"/>
      <c r="H79" s="44"/>
      <c r="I79" s="44"/>
    </row>
    <row r="80" spans="1:9" ht="35.1" customHeight="1">
      <c r="A80" s="44"/>
      <c r="B80" s="44"/>
      <c r="C80" s="44"/>
      <c r="D80" s="44"/>
      <c r="E80" s="44"/>
      <c r="F80" s="44"/>
      <c r="G80" s="44"/>
      <c r="H80" s="44"/>
      <c r="I80" s="44"/>
    </row>
    <row r="81" spans="1:9" ht="35.1" customHeight="1">
      <c r="A81" s="44"/>
      <c r="B81" s="44"/>
      <c r="C81" s="44"/>
      <c r="D81" s="44"/>
      <c r="E81" s="44"/>
      <c r="F81" s="44"/>
      <c r="G81" s="44"/>
      <c r="H81" s="44"/>
      <c r="I81" s="44"/>
    </row>
    <row r="82" spans="1:9" ht="35.1" customHeight="1">
      <c r="A82" s="44"/>
      <c r="B82" s="44"/>
      <c r="C82" s="44"/>
      <c r="D82" s="44"/>
      <c r="E82" s="44"/>
      <c r="F82" s="44"/>
      <c r="G82" s="44"/>
      <c r="H82" s="44"/>
      <c r="I82" s="44"/>
    </row>
    <row r="83" spans="1:9" ht="17.25">
      <c r="A83" s="45" t="s">
        <v>251</v>
      </c>
      <c r="B83" s="44"/>
      <c r="C83" s="44"/>
      <c r="D83" s="44"/>
      <c r="E83" s="44"/>
      <c r="F83" s="44"/>
      <c r="G83" s="44"/>
      <c r="H83" s="44"/>
      <c r="I83" s="44"/>
    </row>
    <row r="84" spans="1:9" ht="17.25">
      <c r="A84" s="45"/>
      <c r="B84" s="44"/>
      <c r="C84" s="44"/>
      <c r="D84" s="44"/>
      <c r="E84" s="44"/>
      <c r="F84" s="44"/>
      <c r="G84" s="44"/>
      <c r="H84" s="44"/>
      <c r="I84" s="44"/>
    </row>
    <row r="85" spans="1:9">
      <c r="A85" s="14" t="s">
        <v>1700</v>
      </c>
    </row>
    <row r="86" spans="1:9" ht="34.5">
      <c r="A86" s="12" t="s">
        <v>1701</v>
      </c>
    </row>
    <row r="87" spans="1:9" ht="35.25" thickBot="1">
      <c r="A87" s="12" t="s">
        <v>1702</v>
      </c>
    </row>
    <row r="88" spans="1:9" ht="35.1" customHeight="1">
      <c r="A88" s="105" t="s">
        <v>1703</v>
      </c>
      <c r="B88" s="103" t="s">
        <v>1712</v>
      </c>
      <c r="C88" s="103"/>
      <c r="D88" s="103"/>
      <c r="E88" s="103"/>
      <c r="F88" s="103"/>
      <c r="G88" s="103"/>
      <c r="H88" s="103"/>
      <c r="I88" s="104"/>
    </row>
    <row r="89" spans="1:9" ht="35.1" customHeight="1">
      <c r="A89" s="106"/>
      <c r="B89" s="48" t="s">
        <v>1704</v>
      </c>
      <c r="C89" s="48" t="s">
        <v>1705</v>
      </c>
      <c r="D89" s="48" t="s">
        <v>1706</v>
      </c>
      <c r="E89" s="48" t="s">
        <v>1707</v>
      </c>
      <c r="F89" s="48" t="s">
        <v>1708</v>
      </c>
      <c r="G89" s="48" t="s">
        <v>1709</v>
      </c>
      <c r="H89" s="48" t="s">
        <v>1710</v>
      </c>
      <c r="I89" s="49" t="s">
        <v>1711</v>
      </c>
    </row>
    <row r="90" spans="1:9" ht="35.1" customHeight="1">
      <c r="A90" s="50"/>
      <c r="B90" s="51"/>
      <c r="C90" s="51"/>
      <c r="D90" s="51"/>
      <c r="E90" s="51"/>
      <c r="F90" s="51"/>
      <c r="G90" s="51"/>
      <c r="H90" s="51"/>
      <c r="I90" s="52"/>
    </row>
    <row r="91" spans="1:9" ht="35.1" customHeight="1">
      <c r="A91" s="50"/>
      <c r="B91" s="51"/>
      <c r="C91" s="51"/>
      <c r="D91" s="51"/>
      <c r="E91" s="51"/>
      <c r="F91" s="51"/>
      <c r="G91" s="51"/>
      <c r="H91" s="51"/>
      <c r="I91" s="52"/>
    </row>
    <row r="92" spans="1:9" ht="35.1" customHeight="1">
      <c r="A92" s="50"/>
      <c r="B92" s="51"/>
      <c r="C92" s="51"/>
      <c r="D92" s="51"/>
      <c r="E92" s="51"/>
      <c r="F92" s="51"/>
      <c r="G92" s="51"/>
      <c r="H92" s="51"/>
      <c r="I92" s="52"/>
    </row>
    <row r="93" spans="1:9" ht="35.1" customHeight="1" thickBot="1">
      <c r="A93" s="53"/>
      <c r="B93" s="54"/>
      <c r="C93" s="54"/>
      <c r="D93" s="54"/>
      <c r="E93" s="54"/>
      <c r="F93" s="54"/>
      <c r="G93" s="54"/>
      <c r="H93" s="54"/>
      <c r="I93" s="55"/>
    </row>
    <row r="95" spans="1:9">
      <c r="A95" s="14" t="s">
        <v>1713</v>
      </c>
    </row>
    <row r="96" spans="1:9" ht="17.25">
      <c r="A96" s="12" t="s">
        <v>1714</v>
      </c>
    </row>
    <row r="97" spans="1:9" ht="35.25" thickBot="1">
      <c r="A97" s="12" t="s">
        <v>1715</v>
      </c>
    </row>
    <row r="98" spans="1:9" ht="35.1" customHeight="1">
      <c r="A98" s="56" t="s">
        <v>1716</v>
      </c>
      <c r="B98" s="86" t="s">
        <v>1704</v>
      </c>
      <c r="C98" s="86" t="s">
        <v>1705</v>
      </c>
      <c r="D98" s="86" t="s">
        <v>1706</v>
      </c>
      <c r="E98" s="86" t="s">
        <v>1707</v>
      </c>
      <c r="F98" s="86" t="s">
        <v>1708</v>
      </c>
      <c r="G98" s="86" t="s">
        <v>1709</v>
      </c>
      <c r="H98" s="86" t="s">
        <v>1710</v>
      </c>
      <c r="I98" s="87" t="s">
        <v>1711</v>
      </c>
    </row>
    <row r="99" spans="1:9" ht="35.1" customHeight="1">
      <c r="A99" s="57"/>
      <c r="B99" s="88"/>
      <c r="C99" s="88"/>
      <c r="D99" s="88"/>
      <c r="E99" s="88"/>
      <c r="F99" s="88"/>
      <c r="G99" s="88"/>
      <c r="H99" s="88"/>
      <c r="I99" s="89"/>
    </row>
    <row r="100" spans="1:9" ht="35.1" customHeight="1">
      <c r="A100" s="50"/>
      <c r="B100" s="51"/>
      <c r="C100" s="51"/>
      <c r="D100" s="51"/>
      <c r="E100" s="51"/>
      <c r="F100" s="51"/>
      <c r="G100" s="51"/>
      <c r="H100" s="51"/>
      <c r="I100" s="52"/>
    </row>
    <row r="101" spans="1:9" ht="35.1" customHeight="1">
      <c r="A101" s="50"/>
      <c r="B101" s="51"/>
      <c r="C101" s="51"/>
      <c r="D101" s="51"/>
      <c r="E101" s="51"/>
      <c r="F101" s="51"/>
      <c r="G101" s="51"/>
      <c r="H101" s="51"/>
      <c r="I101" s="52"/>
    </row>
    <row r="102" spans="1:9" ht="35.1" customHeight="1">
      <c r="A102" s="50"/>
      <c r="B102" s="51"/>
      <c r="C102" s="51"/>
      <c r="D102" s="51"/>
      <c r="E102" s="51"/>
      <c r="F102" s="51"/>
      <c r="G102" s="51"/>
      <c r="H102" s="51"/>
      <c r="I102" s="52"/>
    </row>
    <row r="103" spans="1:9" ht="35.1" customHeight="1" thickBot="1">
      <c r="A103" s="53"/>
      <c r="B103" s="54"/>
      <c r="C103" s="54"/>
      <c r="D103" s="54"/>
      <c r="E103" s="54"/>
      <c r="F103" s="54"/>
      <c r="G103" s="54"/>
      <c r="H103" s="54"/>
      <c r="I103" s="55"/>
    </row>
    <row r="105" spans="1:9">
      <c r="A105" s="14" t="s">
        <v>252</v>
      </c>
    </row>
    <row r="106" spans="1:9" ht="34.5">
      <c r="A106" s="12" t="s">
        <v>253</v>
      </c>
    </row>
    <row r="107" spans="1:9" ht="34.5">
      <c r="A107" s="12" t="s">
        <v>254</v>
      </c>
    </row>
    <row r="108" spans="1:9" ht="34.5">
      <c r="A108" s="12" t="s">
        <v>255</v>
      </c>
    </row>
    <row r="109" spans="1:9" ht="17.25">
      <c r="A109" s="12"/>
    </row>
    <row r="110" spans="1:9">
      <c r="A110" s="14" t="s">
        <v>256</v>
      </c>
    </row>
    <row r="111" spans="1:9" ht="34.5">
      <c r="A111" s="12" t="s">
        <v>257</v>
      </c>
    </row>
    <row r="112" spans="1:9" ht="34.5">
      <c r="A112" s="12" t="s">
        <v>258</v>
      </c>
    </row>
    <row r="113" spans="1:1" ht="34.5">
      <c r="A113" s="12" t="s">
        <v>259</v>
      </c>
    </row>
    <row r="114" spans="1:1" ht="17.25">
      <c r="A114" s="12"/>
    </row>
    <row r="115" spans="1:1">
      <c r="A115" s="14" t="s">
        <v>260</v>
      </c>
    </row>
    <row r="116" spans="1:1" ht="34.5">
      <c r="A116" s="12" t="s">
        <v>261</v>
      </c>
    </row>
    <row r="117" spans="1:1" ht="34.5">
      <c r="A117" s="12" t="s">
        <v>262</v>
      </c>
    </row>
    <row r="118" spans="1:1" ht="34.5">
      <c r="A118" s="12" t="s">
        <v>263</v>
      </c>
    </row>
    <row r="119" spans="1:1" ht="17.25">
      <c r="A119" s="12" t="s">
        <v>264</v>
      </c>
    </row>
    <row r="120" spans="1:1" ht="34.5">
      <c r="A120" s="12" t="s">
        <v>265</v>
      </c>
    </row>
    <row r="121" spans="1:1" ht="17.25">
      <c r="A121" s="12" t="s">
        <v>266</v>
      </c>
    </row>
    <row r="122" spans="1:1" ht="17.25">
      <c r="A122" s="12" t="s">
        <v>267</v>
      </c>
    </row>
    <row r="123" spans="1:1" ht="34.5">
      <c r="A123" s="12" t="s">
        <v>268</v>
      </c>
    </row>
    <row r="124" spans="1:1" ht="34.5">
      <c r="A124" s="12" t="s">
        <v>269</v>
      </c>
    </row>
    <row r="125" spans="1:1" ht="17.25">
      <c r="A125" s="12"/>
    </row>
    <row r="126" spans="1:1">
      <c r="A126" s="47" t="s">
        <v>270</v>
      </c>
    </row>
    <row r="127" spans="1:1" ht="51.75">
      <c r="A127" s="12" t="s">
        <v>271</v>
      </c>
    </row>
    <row r="128" spans="1:1">
      <c r="A128" s="10" t="s">
        <v>248</v>
      </c>
    </row>
    <row r="129" spans="1:1" ht="17.25">
      <c r="A129" s="12" t="s">
        <v>272</v>
      </c>
    </row>
    <row r="130" spans="1:1" ht="34.5">
      <c r="A130" s="12" t="s">
        <v>273</v>
      </c>
    </row>
    <row r="131" spans="1:1">
      <c r="A131" s="10" t="s">
        <v>274</v>
      </c>
    </row>
    <row r="132" spans="1:1" ht="17.25">
      <c r="A132" s="12" t="s">
        <v>275</v>
      </c>
    </row>
    <row r="133" spans="1:1" ht="34.5">
      <c r="A133" s="12" t="s">
        <v>276</v>
      </c>
    </row>
    <row r="134" spans="1:1">
      <c r="A134" s="10" t="s">
        <v>277</v>
      </c>
    </row>
    <row r="135" spans="1:1" ht="17.25">
      <c r="A135" s="12" t="s">
        <v>278</v>
      </c>
    </row>
    <row r="136" spans="1:1" ht="34.5">
      <c r="A136" s="12" t="s">
        <v>279</v>
      </c>
    </row>
    <row r="137" spans="1:1" ht="17.25">
      <c r="A137" s="12" t="s">
        <v>280</v>
      </c>
    </row>
    <row r="138" spans="1:1">
      <c r="A138" s="10" t="s">
        <v>281</v>
      </c>
    </row>
    <row r="139" spans="1:1" ht="34.5">
      <c r="A139" s="12" t="s">
        <v>282</v>
      </c>
    </row>
    <row r="140" spans="1:1" ht="34.5">
      <c r="A140" s="12" t="s">
        <v>283</v>
      </c>
    </row>
    <row r="141" spans="1:1">
      <c r="A141" s="10" t="s">
        <v>284</v>
      </c>
    </row>
    <row r="142" spans="1:1" ht="34.5">
      <c r="A142" s="12" t="s">
        <v>285</v>
      </c>
    </row>
    <row r="143" spans="1:1" ht="34.5">
      <c r="A143" s="12" t="s">
        <v>286</v>
      </c>
    </row>
    <row r="144" spans="1:1">
      <c r="A144" s="10" t="s">
        <v>287</v>
      </c>
    </row>
    <row r="145" spans="1:1" ht="34.5">
      <c r="A145" s="12" t="s">
        <v>288</v>
      </c>
    </row>
    <row r="146" spans="1:1" ht="17.25">
      <c r="A146" s="12" t="s">
        <v>289</v>
      </c>
    </row>
    <row r="147" spans="1:1" ht="17.25">
      <c r="A147" s="12" t="s">
        <v>290</v>
      </c>
    </row>
    <row r="148" spans="1:1" ht="34.5">
      <c r="A148" s="12" t="s">
        <v>291</v>
      </c>
    </row>
    <row r="149" spans="1:1" ht="17.25">
      <c r="A149" s="12" t="s">
        <v>292</v>
      </c>
    </row>
    <row r="150" spans="1:1" ht="17.25">
      <c r="A150" s="12" t="s">
        <v>293</v>
      </c>
    </row>
    <row r="151" spans="1:1" ht="34.5">
      <c r="A151" s="12" t="s">
        <v>294</v>
      </c>
    </row>
    <row r="152" spans="1:1" ht="17.25">
      <c r="A152" s="12"/>
    </row>
    <row r="153" spans="1:1">
      <c r="A153" s="47" t="s">
        <v>295</v>
      </c>
    </row>
    <row r="154" spans="1:1" ht="69">
      <c r="A154" s="12" t="s">
        <v>296</v>
      </c>
    </row>
    <row r="155" spans="1:1" ht="34.5">
      <c r="A155" s="12" t="s">
        <v>297</v>
      </c>
    </row>
    <row r="156" spans="1:1" ht="17.25">
      <c r="A156" s="12" t="s">
        <v>298</v>
      </c>
    </row>
    <row r="157" spans="1:1">
      <c r="A157" s="14" t="s">
        <v>299</v>
      </c>
    </row>
    <row r="158" spans="1:1" ht="17.25">
      <c r="A158" s="12" t="s">
        <v>300</v>
      </c>
    </row>
    <row r="159" spans="1:1" ht="34.5">
      <c r="A159" s="12" t="s">
        <v>301</v>
      </c>
    </row>
    <row r="160" spans="1:1" ht="34.5">
      <c r="A160" s="12" t="s">
        <v>302</v>
      </c>
    </row>
    <row r="161" spans="1:1">
      <c r="A161" s="14" t="s">
        <v>303</v>
      </c>
    </row>
    <row r="162" spans="1:1" ht="34.5">
      <c r="A162" s="12" t="s">
        <v>304</v>
      </c>
    </row>
    <row r="163" spans="1:1" ht="34.5">
      <c r="A163" s="12" t="s">
        <v>305</v>
      </c>
    </row>
    <row r="164" spans="1:1">
      <c r="A164" s="14" t="s">
        <v>306</v>
      </c>
    </row>
    <row r="165" spans="1:1" ht="34.5">
      <c r="A165" s="12" t="s">
        <v>307</v>
      </c>
    </row>
    <row r="166" spans="1:1" ht="34.5">
      <c r="A166" s="12" t="s">
        <v>308</v>
      </c>
    </row>
    <row r="167" spans="1:1" ht="34.5">
      <c r="A167" s="12" t="s">
        <v>309</v>
      </c>
    </row>
    <row r="168" spans="1:1" ht="34.5">
      <c r="A168" s="12" t="s">
        <v>310</v>
      </c>
    </row>
    <row r="169" spans="1:1" ht="17.25">
      <c r="A169" s="12"/>
    </row>
    <row r="170" spans="1:1">
      <c r="A170" s="47" t="s">
        <v>311</v>
      </c>
    </row>
    <row r="171" spans="1:1" ht="86.25">
      <c r="A171" s="12" t="s">
        <v>312</v>
      </c>
    </row>
    <row r="172" spans="1:1">
      <c r="A172" s="14" t="s">
        <v>313</v>
      </c>
    </row>
    <row r="173" spans="1:1" ht="34.5">
      <c r="A173" s="12" t="s">
        <v>314</v>
      </c>
    </row>
    <row r="174" spans="1:1" ht="34.5">
      <c r="A174" s="12" t="s">
        <v>315</v>
      </c>
    </row>
    <row r="175" spans="1:1" ht="34.5">
      <c r="A175" s="12" t="s">
        <v>316</v>
      </c>
    </row>
    <row r="176" spans="1:1" ht="34.5">
      <c r="A176" s="12" t="s">
        <v>317</v>
      </c>
    </row>
    <row r="177" spans="1:1" ht="34.5">
      <c r="A177" s="12" t="s">
        <v>318</v>
      </c>
    </row>
    <row r="178" spans="1:1">
      <c r="A178" s="14" t="s">
        <v>319</v>
      </c>
    </row>
    <row r="179" spans="1:1" ht="34.5">
      <c r="A179" s="12" t="s">
        <v>320</v>
      </c>
    </row>
    <row r="180" spans="1:1" ht="34.5">
      <c r="A180" s="12" t="s">
        <v>321</v>
      </c>
    </row>
    <row r="181" spans="1:1" ht="34.5">
      <c r="A181" s="12" t="s">
        <v>322</v>
      </c>
    </row>
    <row r="182" spans="1:1" ht="34.5">
      <c r="A182" s="12" t="s">
        <v>323</v>
      </c>
    </row>
    <row r="183" spans="1:1">
      <c r="A183" s="14" t="s">
        <v>324</v>
      </c>
    </row>
    <row r="184" spans="1:1" ht="34.5">
      <c r="A184" s="12" t="s">
        <v>325</v>
      </c>
    </row>
    <row r="185" spans="1:1" ht="34.5">
      <c r="A185" s="12" t="s">
        <v>326</v>
      </c>
    </row>
    <row r="186" spans="1:1" ht="34.5">
      <c r="A186" s="12" t="s">
        <v>327</v>
      </c>
    </row>
    <row r="187" spans="1:1" ht="34.5">
      <c r="A187" s="12" t="s">
        <v>328</v>
      </c>
    </row>
    <row r="188" spans="1:1">
      <c r="A188" s="14" t="s">
        <v>329</v>
      </c>
    </row>
    <row r="189" spans="1:1" ht="34.5">
      <c r="A189" s="12" t="s">
        <v>330</v>
      </c>
    </row>
    <row r="190" spans="1:1" ht="17.25">
      <c r="A190" s="12" t="s">
        <v>331</v>
      </c>
    </row>
    <row r="191" spans="1:1" ht="34.5">
      <c r="A191" s="12" t="s">
        <v>332</v>
      </c>
    </row>
    <row r="192" spans="1:1" ht="34.5">
      <c r="A192" s="12" t="s">
        <v>333</v>
      </c>
    </row>
  </sheetData>
  <mergeCells count="2">
    <mergeCell ref="B88:I88"/>
    <mergeCell ref="A88:A89"/>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3F41F-B23B-4C35-9C46-7E04E0557BAA}">
  <dimension ref="A1:I3439"/>
  <sheetViews>
    <sheetView workbookViewId="0">
      <selection activeCell="B166" sqref="B166"/>
    </sheetView>
  </sheetViews>
  <sheetFormatPr baseColWidth="10" defaultRowHeight="15"/>
  <cols>
    <col min="1" max="1" width="32.42578125" customWidth="1"/>
    <col min="2" max="2" width="32.85546875" customWidth="1"/>
    <col min="3" max="3" width="20.85546875" customWidth="1"/>
    <col min="4" max="4" width="17.85546875" customWidth="1"/>
    <col min="5" max="5" width="33.42578125" customWidth="1"/>
    <col min="6" max="6" width="18.85546875" customWidth="1"/>
    <col min="7" max="7" width="18.28515625" customWidth="1"/>
    <col min="8" max="8" width="24.28515625" customWidth="1"/>
    <col min="9" max="9" width="18.42578125" customWidth="1"/>
  </cols>
  <sheetData>
    <row r="1" spans="1:1" ht="17.25">
      <c r="A1" s="1" t="s">
        <v>0</v>
      </c>
    </row>
    <row r="2" spans="1:1" ht="17.25">
      <c r="A2" s="1" t="s">
        <v>1</v>
      </c>
    </row>
    <row r="3" spans="1:1" ht="17.25">
      <c r="A3" s="2" t="s">
        <v>2</v>
      </c>
    </row>
    <row r="6" spans="1:1">
      <c r="A6" s="1" t="s">
        <v>3</v>
      </c>
    </row>
    <row r="7" spans="1:1" ht="17.25">
      <c r="A7" s="2" t="s">
        <v>4</v>
      </c>
    </row>
    <row r="8" spans="1:1">
      <c r="A8" s="1" t="s">
        <v>5</v>
      </c>
    </row>
    <row r="9" spans="1:1" ht="17.25">
      <c r="A9" s="5" t="s">
        <v>6</v>
      </c>
    </row>
    <row r="10" spans="1:1" ht="17.25">
      <c r="A10" s="5" t="s">
        <v>7</v>
      </c>
    </row>
    <row r="11" spans="1:1" ht="17.25">
      <c r="A11" s="5" t="s">
        <v>8</v>
      </c>
    </row>
    <row r="12" spans="1:1" ht="17.25">
      <c r="A12" s="5" t="s">
        <v>9</v>
      </c>
    </row>
    <row r="13" spans="1:1" ht="17.25">
      <c r="A13" s="5" t="s">
        <v>10</v>
      </c>
    </row>
    <row r="14" spans="1:1" ht="17.25">
      <c r="A14" s="5" t="s">
        <v>11</v>
      </c>
    </row>
    <row r="15" spans="1:1" ht="17.25">
      <c r="A15" s="5" t="s">
        <v>12</v>
      </c>
    </row>
    <row r="16" spans="1:1" ht="17.25">
      <c r="A16" s="5" t="s">
        <v>13</v>
      </c>
    </row>
    <row r="17" spans="1:2" ht="17.25">
      <c r="A17" s="5" t="s">
        <v>14</v>
      </c>
    </row>
    <row r="20" spans="1:2">
      <c r="A20" s="1" t="s">
        <v>15</v>
      </c>
    </row>
    <row r="21" spans="1:2">
      <c r="A21" s="1" t="s">
        <v>16</v>
      </c>
    </row>
    <row r="22" spans="1:2">
      <c r="A22" s="6" t="s">
        <v>17</v>
      </c>
      <c r="B22" s="6" t="s">
        <v>18</v>
      </c>
    </row>
    <row r="23" spans="1:2" ht="17.25">
      <c r="A23" s="7">
        <v>1</v>
      </c>
      <c r="B23" s="7" t="s">
        <v>19</v>
      </c>
    </row>
    <row r="24" spans="1:2" ht="17.25">
      <c r="A24" s="7">
        <v>2</v>
      </c>
      <c r="B24" s="7" t="s">
        <v>20</v>
      </c>
    </row>
    <row r="27" spans="1:2">
      <c r="A27" s="1" t="s">
        <v>21</v>
      </c>
    </row>
    <row r="28" spans="1:2">
      <c r="A28" s="1" t="s">
        <v>22</v>
      </c>
    </row>
    <row r="29" spans="1:2">
      <c r="A29" s="6" t="s">
        <v>23</v>
      </c>
      <c r="B29" s="6" t="s">
        <v>24</v>
      </c>
    </row>
    <row r="30" spans="1:2" ht="17.25">
      <c r="A30" s="7">
        <v>1</v>
      </c>
      <c r="B30" s="7" t="s">
        <v>25</v>
      </c>
    </row>
    <row r="31" spans="1:2" ht="17.25">
      <c r="A31" s="7">
        <v>2</v>
      </c>
      <c r="B31" s="7" t="s">
        <v>26</v>
      </c>
    </row>
    <row r="32" spans="1:2" ht="17.25">
      <c r="A32" s="7">
        <v>3</v>
      </c>
      <c r="B32" s="7" t="s">
        <v>27</v>
      </c>
    </row>
    <row r="33" spans="1:5" ht="17.25">
      <c r="A33" s="7">
        <v>4</v>
      </c>
      <c r="B33" s="7" t="s">
        <v>28</v>
      </c>
    </row>
    <row r="34" spans="1:5" ht="17.25">
      <c r="A34" s="7">
        <v>5</v>
      </c>
      <c r="B34" s="7" t="s">
        <v>29</v>
      </c>
    </row>
    <row r="35" spans="1:5" ht="17.25">
      <c r="A35" s="7">
        <v>6</v>
      </c>
      <c r="B35" s="7" t="s">
        <v>30</v>
      </c>
    </row>
    <row r="36" spans="1:5" ht="17.25">
      <c r="A36" s="7">
        <v>7</v>
      </c>
      <c r="B36" s="7" t="s">
        <v>31</v>
      </c>
    </row>
    <row r="37" spans="1:5" ht="17.25">
      <c r="A37" s="7">
        <v>8</v>
      </c>
      <c r="B37" s="7" t="s">
        <v>32</v>
      </c>
    </row>
    <row r="40" spans="1:5">
      <c r="A40" s="1" t="s">
        <v>33</v>
      </c>
    </row>
    <row r="41" spans="1:5">
      <c r="A41" s="1" t="s">
        <v>34</v>
      </c>
    </row>
    <row r="42" spans="1:5" ht="25.5" customHeight="1">
      <c r="A42" s="39" t="s">
        <v>35</v>
      </c>
      <c r="B42" s="39" t="s">
        <v>36</v>
      </c>
      <c r="C42" s="39" t="s">
        <v>37</v>
      </c>
      <c r="D42" s="39" t="s">
        <v>38</v>
      </c>
      <c r="E42" s="39" t="s">
        <v>39</v>
      </c>
    </row>
    <row r="43" spans="1:5" ht="17.25">
      <c r="A43" s="9">
        <v>1</v>
      </c>
      <c r="B43" s="9">
        <v>2025</v>
      </c>
      <c r="C43" s="9" t="s">
        <v>40</v>
      </c>
      <c r="D43" s="43">
        <v>45658</v>
      </c>
      <c r="E43" s="43">
        <v>45747</v>
      </c>
    </row>
    <row r="44" spans="1:5" ht="17.25">
      <c r="A44" s="9">
        <v>2</v>
      </c>
      <c r="B44" s="9">
        <v>2025</v>
      </c>
      <c r="C44" s="9" t="s">
        <v>41</v>
      </c>
      <c r="D44" s="43">
        <v>45748</v>
      </c>
      <c r="E44" s="43">
        <v>45838</v>
      </c>
    </row>
    <row r="47" spans="1:5">
      <c r="A47" s="1" t="s">
        <v>42</v>
      </c>
    </row>
    <row r="48" spans="1:5">
      <c r="A48" s="1" t="s">
        <v>1885</v>
      </c>
    </row>
    <row r="49" spans="1:5" s="44" customFormat="1" ht="33.75" customHeight="1">
      <c r="A49" s="39" t="s">
        <v>44</v>
      </c>
      <c r="B49" s="39" t="s">
        <v>45</v>
      </c>
      <c r="C49" s="39" t="s">
        <v>46</v>
      </c>
      <c r="D49" s="39" t="s">
        <v>47</v>
      </c>
      <c r="E49" s="39" t="s">
        <v>48</v>
      </c>
    </row>
    <row r="50" spans="1:5" ht="17.25">
      <c r="A50" s="9">
        <v>1</v>
      </c>
      <c r="B50" s="7" t="s">
        <v>49</v>
      </c>
      <c r="C50" s="7" t="s">
        <v>19</v>
      </c>
      <c r="D50" s="7" t="s">
        <v>50</v>
      </c>
      <c r="E50" s="7" t="s">
        <v>51</v>
      </c>
    </row>
    <row r="51" spans="1:5" ht="17.25">
      <c r="A51" s="9">
        <v>2</v>
      </c>
      <c r="B51" s="7" t="s">
        <v>52</v>
      </c>
      <c r="C51" s="7" t="s">
        <v>19</v>
      </c>
      <c r="D51" s="7" t="s">
        <v>53</v>
      </c>
      <c r="E51" s="7" t="s">
        <v>54</v>
      </c>
    </row>
    <row r="52" spans="1:5" ht="31.5" customHeight="1">
      <c r="A52" s="9">
        <v>3</v>
      </c>
      <c r="B52" s="7" t="s">
        <v>55</v>
      </c>
      <c r="C52" s="7" t="s">
        <v>19</v>
      </c>
      <c r="D52" s="7" t="s">
        <v>56</v>
      </c>
      <c r="E52" s="7" t="s">
        <v>57</v>
      </c>
    </row>
    <row r="53" spans="1:5" ht="17.25">
      <c r="A53" s="9">
        <v>4</v>
      </c>
      <c r="B53" s="7" t="s">
        <v>58</v>
      </c>
      <c r="C53" s="7" t="s">
        <v>19</v>
      </c>
      <c r="D53" s="7" t="s">
        <v>53</v>
      </c>
      <c r="E53" s="7" t="s">
        <v>59</v>
      </c>
    </row>
    <row r="54" spans="1:5" ht="17.25">
      <c r="A54" s="9">
        <v>5</v>
      </c>
      <c r="B54" s="7" t="s">
        <v>60</v>
      </c>
      <c r="C54" s="7" t="s">
        <v>20</v>
      </c>
      <c r="D54" s="7" t="s">
        <v>53</v>
      </c>
      <c r="E54" s="7" t="s">
        <v>61</v>
      </c>
    </row>
    <row r="55" spans="1:5" ht="17.25">
      <c r="A55" s="9">
        <v>6</v>
      </c>
      <c r="B55" s="7" t="s">
        <v>62</v>
      </c>
      <c r="C55" s="7" t="s">
        <v>20</v>
      </c>
      <c r="D55" s="7" t="s">
        <v>53</v>
      </c>
      <c r="E55" s="7" t="s">
        <v>63</v>
      </c>
    </row>
    <row r="56" spans="1:5" ht="17.25">
      <c r="A56" s="9">
        <v>7</v>
      </c>
      <c r="B56" s="7" t="s">
        <v>64</v>
      </c>
      <c r="C56" s="7" t="s">
        <v>20</v>
      </c>
      <c r="D56" s="7" t="s">
        <v>50</v>
      </c>
      <c r="E56" s="7" t="s">
        <v>65</v>
      </c>
    </row>
    <row r="57" spans="1:5" ht="17.25">
      <c r="A57" s="9">
        <v>8</v>
      </c>
      <c r="B57" s="7" t="s">
        <v>66</v>
      </c>
      <c r="C57" s="7" t="s">
        <v>20</v>
      </c>
      <c r="D57" s="7" t="s">
        <v>50</v>
      </c>
      <c r="E57" s="7" t="s">
        <v>66</v>
      </c>
    </row>
    <row r="58" spans="1:5" ht="17.25">
      <c r="A58" s="9">
        <v>9</v>
      </c>
      <c r="B58" s="7" t="s">
        <v>67</v>
      </c>
      <c r="C58" s="7" t="s">
        <v>68</v>
      </c>
      <c r="D58" s="7" t="s">
        <v>69</v>
      </c>
      <c r="E58" s="7" t="s">
        <v>70</v>
      </c>
    </row>
    <row r="59" spans="1:5" ht="28.5" customHeight="1">
      <c r="A59" s="9">
        <v>10</v>
      </c>
      <c r="B59" s="7" t="s">
        <v>71</v>
      </c>
      <c r="C59" s="7" t="s">
        <v>68</v>
      </c>
      <c r="D59" s="7" t="s">
        <v>69</v>
      </c>
      <c r="E59" s="7" t="s">
        <v>72</v>
      </c>
    </row>
    <row r="62" spans="1:5">
      <c r="A62" s="1" t="s">
        <v>73</v>
      </c>
    </row>
    <row r="63" spans="1:5">
      <c r="A63" s="1" t="s">
        <v>74</v>
      </c>
    </row>
    <row r="64" spans="1:5" ht="17.25">
      <c r="A64" s="2" t="s">
        <v>75</v>
      </c>
    </row>
    <row r="65" spans="1:7" ht="32.25" customHeight="1">
      <c r="A65" s="39" t="s">
        <v>76</v>
      </c>
      <c r="B65" s="39" t="s">
        <v>44</v>
      </c>
      <c r="C65" s="39" t="s">
        <v>23</v>
      </c>
      <c r="D65" s="39" t="s">
        <v>35</v>
      </c>
      <c r="E65" s="39" t="s">
        <v>77</v>
      </c>
      <c r="F65" s="39" t="s">
        <v>78</v>
      </c>
      <c r="G65" s="39" t="s">
        <v>79</v>
      </c>
    </row>
    <row r="66" spans="1:7" ht="34.5">
      <c r="A66" s="9">
        <v>1</v>
      </c>
      <c r="B66" s="9">
        <v>1</v>
      </c>
      <c r="C66" s="9">
        <v>1</v>
      </c>
      <c r="D66" s="9">
        <v>1</v>
      </c>
      <c r="E66" s="9">
        <v>58</v>
      </c>
      <c r="F66" s="9" t="s">
        <v>80</v>
      </c>
      <c r="G66" s="9" t="s">
        <v>81</v>
      </c>
    </row>
    <row r="67" spans="1:7" ht="30.75" customHeight="1">
      <c r="A67" s="9">
        <v>2</v>
      </c>
      <c r="B67" s="9">
        <v>5</v>
      </c>
      <c r="C67" s="9">
        <v>1</v>
      </c>
      <c r="D67" s="9">
        <v>1</v>
      </c>
      <c r="E67" s="9">
        <v>120</v>
      </c>
      <c r="F67" s="9" t="s">
        <v>82</v>
      </c>
      <c r="G67" s="9" t="s">
        <v>83</v>
      </c>
    </row>
    <row r="68" spans="1:7">
      <c r="A68" s="1" t="s">
        <v>84</v>
      </c>
    </row>
    <row r="69" spans="1:7" ht="17.25">
      <c r="A69" s="5" t="s">
        <v>80</v>
      </c>
    </row>
    <row r="70" spans="1:7" ht="17.25">
      <c r="A70" s="5" t="s">
        <v>85</v>
      </c>
    </row>
    <row r="71" spans="1:7" ht="17.25">
      <c r="A71" s="5" t="s">
        <v>82</v>
      </c>
    </row>
    <row r="80" spans="1:7">
      <c r="A80" s="1" t="s">
        <v>111</v>
      </c>
    </row>
    <row r="81" spans="1:7" s="23" customFormat="1" ht="35.1" customHeight="1">
      <c r="A81" s="46" t="s">
        <v>112</v>
      </c>
      <c r="B81" s="23" t="s">
        <v>1690</v>
      </c>
      <c r="C81" s="23" t="s">
        <v>1691</v>
      </c>
      <c r="D81" s="23" t="s">
        <v>1692</v>
      </c>
      <c r="E81" s="23" t="s">
        <v>1693</v>
      </c>
      <c r="F81" s="23" t="s">
        <v>1684</v>
      </c>
      <c r="G81" s="23" t="s">
        <v>1685</v>
      </c>
    </row>
    <row r="82" spans="1:7" ht="35.1" customHeight="1">
      <c r="A82" s="5" t="s">
        <v>113</v>
      </c>
    </row>
    <row r="83" spans="1:7" ht="35.1" customHeight="1">
      <c r="A83" s="5" t="s">
        <v>114</v>
      </c>
    </row>
    <row r="84" spans="1:7" ht="35.1" customHeight="1">
      <c r="A84" s="5" t="s">
        <v>1889</v>
      </c>
    </row>
    <row r="85" spans="1:7" ht="35.1" customHeight="1">
      <c r="A85" s="5" t="s">
        <v>682</v>
      </c>
    </row>
    <row r="86" spans="1:7" ht="35.1" customHeight="1">
      <c r="A86" s="5" t="s">
        <v>1890</v>
      </c>
    </row>
    <row r="87" spans="1:7" ht="35.1" customHeight="1">
      <c r="A87" s="5" t="s">
        <v>1891</v>
      </c>
    </row>
    <row r="88" spans="1:7" ht="35.1" customHeight="1">
      <c r="A88" s="5" t="s">
        <v>138</v>
      </c>
    </row>
    <row r="89" spans="1:7" ht="35.1" customHeight="1">
      <c r="A89" s="5" t="s">
        <v>1892</v>
      </c>
    </row>
    <row r="90" spans="1:7" ht="35.1" customHeight="1">
      <c r="A90" s="5" t="s">
        <v>1893</v>
      </c>
    </row>
    <row r="91" spans="1:7" ht="35.1" customHeight="1">
      <c r="A91" s="5" t="s">
        <v>1894</v>
      </c>
    </row>
    <row r="92" spans="1:7" ht="35.1" customHeight="1"/>
    <row r="93" spans="1:7" ht="35.1" customHeight="1">
      <c r="A93" s="5" t="s">
        <v>1895</v>
      </c>
    </row>
    <row r="94" spans="1:7" ht="35.1" customHeight="1">
      <c r="A94" s="5" t="s">
        <v>1896</v>
      </c>
    </row>
    <row r="95" spans="1:7" ht="35.1" customHeight="1">
      <c r="A95" s="5" t="s">
        <v>1897</v>
      </c>
    </row>
    <row r="96" spans="1:7" ht="35.1" customHeight="1">
      <c r="A96" s="5" t="s">
        <v>1898</v>
      </c>
    </row>
    <row r="97" spans="1:7" ht="35.1" customHeight="1">
      <c r="A97" s="5" t="s">
        <v>1899</v>
      </c>
    </row>
    <row r="100" spans="1:7" ht="35.1" customHeight="1">
      <c r="A100" s="8" t="s">
        <v>131</v>
      </c>
      <c r="B100" s="3" t="s">
        <v>1684</v>
      </c>
      <c r="C100" s="3" t="s">
        <v>1685</v>
      </c>
      <c r="D100" s="3" t="s">
        <v>1686</v>
      </c>
      <c r="E100" s="3" t="s">
        <v>1687</v>
      </c>
      <c r="F100" s="3" t="s">
        <v>1688</v>
      </c>
      <c r="G100" s="3" t="s">
        <v>1689</v>
      </c>
    </row>
    <row r="101" spans="1:7" ht="35.1" customHeight="1">
      <c r="A101" s="5" t="s">
        <v>132</v>
      </c>
    </row>
    <row r="102" spans="1:7" ht="35.1" customHeight="1">
      <c r="A102" s="5" t="s">
        <v>133</v>
      </c>
    </row>
    <row r="103" spans="1:7" ht="35.1" customHeight="1">
      <c r="A103" s="5" t="s">
        <v>134</v>
      </c>
    </row>
    <row r="104" spans="1:7" ht="35.1" customHeight="1">
      <c r="A104" s="5" t="s">
        <v>135</v>
      </c>
    </row>
    <row r="105" spans="1:7" ht="35.1" customHeight="1">
      <c r="A105" s="5" t="s">
        <v>136</v>
      </c>
    </row>
    <row r="106" spans="1:7" ht="35.1" customHeight="1">
      <c r="A106" s="5" t="s">
        <v>137</v>
      </c>
    </row>
    <row r="107" spans="1:7" ht="35.1" customHeight="1">
      <c r="A107" s="5" t="s">
        <v>138</v>
      </c>
    </row>
    <row r="108" spans="1:7" ht="35.1" customHeight="1">
      <c r="A108" s="5" t="s">
        <v>139</v>
      </c>
    </row>
    <row r="109" spans="1:7" ht="35.1" customHeight="1">
      <c r="A109" s="5" t="s">
        <v>140</v>
      </c>
    </row>
    <row r="110" spans="1:7" ht="35.1" customHeight="1">
      <c r="A110" s="5" t="s">
        <v>141</v>
      </c>
    </row>
    <row r="111" spans="1:7" ht="35.1" customHeight="1">
      <c r="A111" s="5" t="s">
        <v>142</v>
      </c>
    </row>
    <row r="112" spans="1:7" ht="35.1" customHeight="1">
      <c r="A112" s="5" t="s">
        <v>143</v>
      </c>
    </row>
    <row r="113" spans="1:8" ht="35.1" customHeight="1">
      <c r="A113" s="5" t="s">
        <v>144</v>
      </c>
    </row>
    <row r="114" spans="1:8" ht="35.1" customHeight="1">
      <c r="A114" s="5" t="s">
        <v>126</v>
      </c>
    </row>
    <row r="115" spans="1:8" ht="35.1" customHeight="1">
      <c r="A115" s="5" t="s">
        <v>145</v>
      </c>
    </row>
    <row r="116" spans="1:8" ht="35.1" customHeight="1">
      <c r="A116" s="5" t="s">
        <v>146</v>
      </c>
    </row>
    <row r="117" spans="1:8" ht="35.1" customHeight="1">
      <c r="A117" s="5" t="s">
        <v>147</v>
      </c>
    </row>
    <row r="118" spans="1:8" ht="35.1" customHeight="1">
      <c r="A118" s="5" t="s">
        <v>148</v>
      </c>
    </row>
    <row r="121" spans="1:8">
      <c r="A121" s="1" t="s">
        <v>149</v>
      </c>
    </row>
    <row r="122" spans="1:8" ht="17.25">
      <c r="A122" s="2" t="s">
        <v>150</v>
      </c>
    </row>
    <row r="123" spans="1:8">
      <c r="A123" s="1" t="s">
        <v>151</v>
      </c>
    </row>
    <row r="124" spans="1:8" ht="31.5" customHeight="1">
      <c r="A124" s="39" t="s">
        <v>152</v>
      </c>
      <c r="B124" s="39" t="s">
        <v>153</v>
      </c>
      <c r="C124" s="39" t="s">
        <v>154</v>
      </c>
      <c r="D124" s="39" t="s">
        <v>155</v>
      </c>
      <c r="E124" s="39" t="s">
        <v>156</v>
      </c>
      <c r="F124" s="39" t="s">
        <v>157</v>
      </c>
      <c r="G124" s="39" t="s">
        <v>158</v>
      </c>
      <c r="H124" s="39" t="s">
        <v>159</v>
      </c>
    </row>
    <row r="125" spans="1:8" ht="35.1" customHeight="1">
      <c r="A125" s="9">
        <v>2025</v>
      </c>
      <c r="B125" s="9" t="s">
        <v>40</v>
      </c>
      <c r="C125" s="7" t="s">
        <v>25</v>
      </c>
      <c r="D125" s="7" t="s">
        <v>19</v>
      </c>
      <c r="E125" s="7" t="s">
        <v>160</v>
      </c>
      <c r="F125" s="9">
        <v>58</v>
      </c>
      <c r="G125" s="9" t="s">
        <v>80</v>
      </c>
      <c r="H125" s="9" t="s">
        <v>161</v>
      </c>
    </row>
    <row r="126" spans="1:8" ht="35.1" customHeight="1">
      <c r="A126" s="9">
        <v>2025</v>
      </c>
      <c r="B126" s="9" t="s">
        <v>40</v>
      </c>
      <c r="C126" s="7" t="s">
        <v>25</v>
      </c>
      <c r="D126" s="7" t="s">
        <v>20</v>
      </c>
      <c r="E126" s="7" t="s">
        <v>162</v>
      </c>
      <c r="F126" s="9">
        <v>120</v>
      </c>
      <c r="G126" s="9" t="s">
        <v>82</v>
      </c>
      <c r="H126" s="9" t="s">
        <v>163</v>
      </c>
    </row>
    <row r="127" spans="1:8" ht="17.25">
      <c r="A127" s="2" t="s">
        <v>164</v>
      </c>
    </row>
    <row r="130" spans="1:9">
      <c r="A130" s="1" t="s">
        <v>165</v>
      </c>
    </row>
    <row r="131" spans="1:9" ht="17.25">
      <c r="A131" s="2" t="s">
        <v>166</v>
      </c>
    </row>
    <row r="132" spans="1:9">
      <c r="A132" s="1" t="s">
        <v>167</v>
      </c>
    </row>
    <row r="133" spans="1:9" ht="34.5" customHeight="1">
      <c r="A133" s="39" t="s">
        <v>168</v>
      </c>
      <c r="B133" s="39" t="s">
        <v>19</v>
      </c>
      <c r="C133" s="39" t="s">
        <v>20</v>
      </c>
      <c r="D133" s="39" t="s">
        <v>169</v>
      </c>
    </row>
    <row r="134" spans="1:9" ht="36" customHeight="1">
      <c r="A134" s="9" t="s">
        <v>98</v>
      </c>
      <c r="B134" s="9">
        <v>55</v>
      </c>
      <c r="C134" s="9">
        <v>60</v>
      </c>
      <c r="D134" s="9">
        <v>58</v>
      </c>
    </row>
    <row r="135" spans="1:9" ht="17.25">
      <c r="A135" s="2" t="s">
        <v>170</v>
      </c>
    </row>
    <row r="136" spans="1:9" ht="17.25">
      <c r="A136" s="2" t="s">
        <v>171</v>
      </c>
    </row>
    <row r="139" spans="1:9">
      <c r="A139" s="1" t="s">
        <v>172</v>
      </c>
    </row>
    <row r="140" spans="1:9">
      <c r="A140" s="1" t="s">
        <v>173</v>
      </c>
    </row>
    <row r="141" spans="1:9" ht="35.1" customHeight="1">
      <c r="A141" s="45" t="s">
        <v>174</v>
      </c>
      <c r="B141" s="45" t="s">
        <v>175</v>
      </c>
      <c r="C141" s="45" t="s">
        <v>176</v>
      </c>
      <c r="D141" s="45" t="s">
        <v>177</v>
      </c>
      <c r="E141" s="45" t="s">
        <v>178</v>
      </c>
      <c r="F141" s="45" t="s">
        <v>179</v>
      </c>
      <c r="G141" s="45" t="s">
        <v>180</v>
      </c>
      <c r="H141" s="45" t="s">
        <v>181</v>
      </c>
      <c r="I141" s="45" t="s">
        <v>182</v>
      </c>
    </row>
    <row r="142" spans="1:9" ht="35.1" customHeight="1">
      <c r="A142" s="44"/>
      <c r="B142" s="44"/>
      <c r="C142" s="44"/>
      <c r="D142" s="44"/>
      <c r="E142" s="44"/>
      <c r="F142" s="44"/>
      <c r="G142" s="44"/>
      <c r="H142" s="44"/>
      <c r="I142" s="44"/>
    </row>
    <row r="143" spans="1:9" ht="35.1" customHeight="1">
      <c r="A143" s="44"/>
      <c r="B143" s="44"/>
      <c r="C143" s="44"/>
      <c r="D143" s="44"/>
      <c r="E143" s="44"/>
      <c r="F143" s="44"/>
      <c r="G143" s="44"/>
      <c r="H143" s="44"/>
      <c r="I143" s="44"/>
    </row>
    <row r="144" spans="1:9" ht="35.1" customHeight="1">
      <c r="A144" s="44"/>
      <c r="B144" s="44"/>
      <c r="C144" s="44"/>
      <c r="D144" s="44"/>
      <c r="E144" s="44"/>
      <c r="F144" s="44"/>
      <c r="G144" s="44"/>
      <c r="H144" s="44"/>
      <c r="I144" s="44"/>
    </row>
    <row r="145" spans="1:9" ht="35.1" customHeight="1">
      <c r="A145" s="44"/>
      <c r="B145" s="44"/>
      <c r="C145" s="44"/>
      <c r="D145" s="44"/>
      <c r="E145" s="44"/>
      <c r="F145" s="44"/>
      <c r="G145" s="44"/>
      <c r="H145" s="44"/>
      <c r="I145" s="44"/>
    </row>
    <row r="146" spans="1:9" ht="35.1" customHeight="1">
      <c r="A146" s="44"/>
      <c r="B146" s="44"/>
      <c r="C146" s="44"/>
      <c r="D146" s="44"/>
      <c r="E146" s="44"/>
      <c r="F146" s="44"/>
      <c r="G146" s="44"/>
      <c r="H146" s="44"/>
      <c r="I146" s="44"/>
    </row>
    <row r="147" spans="1:9" ht="35.1" customHeight="1">
      <c r="A147" s="44"/>
      <c r="B147" s="44"/>
      <c r="C147" s="44"/>
      <c r="D147" s="44"/>
      <c r="E147" s="44"/>
      <c r="F147" s="44"/>
      <c r="G147" s="44"/>
      <c r="H147" s="44"/>
      <c r="I147" s="44"/>
    </row>
    <row r="148" spans="1:9" ht="35.1" customHeight="1">
      <c r="A148" s="44"/>
      <c r="B148" s="44"/>
      <c r="C148" s="44"/>
      <c r="D148" s="44"/>
      <c r="E148" s="44"/>
      <c r="F148" s="44"/>
      <c r="G148" s="44"/>
      <c r="H148" s="44"/>
      <c r="I148" s="44"/>
    </row>
    <row r="149" spans="1:9" ht="35.1" customHeight="1">
      <c r="A149" s="44"/>
      <c r="B149" s="44"/>
      <c r="C149" s="44"/>
      <c r="D149" s="44"/>
      <c r="E149" s="44"/>
      <c r="F149" s="44"/>
      <c r="G149" s="44"/>
      <c r="H149" s="44"/>
      <c r="I149" s="44"/>
    </row>
    <row r="150" spans="1:9" ht="35.1" customHeight="1">
      <c r="A150" s="44"/>
      <c r="B150" s="44"/>
      <c r="C150" s="44"/>
      <c r="D150" s="44"/>
      <c r="E150" s="44"/>
      <c r="F150" s="44"/>
      <c r="G150" s="44"/>
      <c r="H150" s="44"/>
      <c r="I150" s="44"/>
    </row>
    <row r="152" spans="1:9">
      <c r="A152" s="1" t="s">
        <v>183</v>
      </c>
    </row>
    <row r="153" spans="1:9" ht="17.25">
      <c r="A153" s="2" t="s">
        <v>184</v>
      </c>
    </row>
    <row r="154" spans="1:9" ht="17.25">
      <c r="A154" s="5" t="s">
        <v>185</v>
      </c>
    </row>
    <row r="155" spans="1:9" ht="17.25">
      <c r="A155" s="5" t="s">
        <v>186</v>
      </c>
    </row>
    <row r="156" spans="1:9" ht="17.25">
      <c r="A156" s="5" t="s">
        <v>187</v>
      </c>
    </row>
    <row r="157" spans="1:9" ht="17.25">
      <c r="A157" s="5" t="s">
        <v>188</v>
      </c>
    </row>
    <row r="158" spans="1:9" ht="17.25">
      <c r="A158" s="5" t="s">
        <v>189</v>
      </c>
    </row>
    <row r="159" spans="1:9" ht="17.25">
      <c r="A159" s="5" t="s">
        <v>190</v>
      </c>
    </row>
    <row r="162" spans="1:1">
      <c r="A162" s="1"/>
    </row>
    <row r="163" spans="1:1">
      <c r="A163" s="1"/>
    </row>
    <row r="164" spans="1:1">
      <c r="A164" s="1"/>
    </row>
    <row r="165" spans="1:1">
      <c r="A165" s="1"/>
    </row>
    <row r="166" spans="1:1" ht="17.25">
      <c r="A166" s="12"/>
    </row>
    <row r="315" spans="1:1">
      <c r="A315" s="10" t="s">
        <v>334</v>
      </c>
    </row>
    <row r="316" spans="1:1" ht="276">
      <c r="A316" s="12" t="s">
        <v>335</v>
      </c>
    </row>
    <row r="317" spans="1:1" ht="17.25">
      <c r="A317" s="12" t="s">
        <v>336</v>
      </c>
    </row>
    <row r="318" spans="1:1" ht="69">
      <c r="A318" s="12" t="s">
        <v>337</v>
      </c>
    </row>
    <row r="319" spans="1:1" ht="69">
      <c r="A319" s="12" t="s">
        <v>338</v>
      </c>
    </row>
    <row r="320" spans="1:1" ht="69">
      <c r="A320" s="12" t="s">
        <v>339</v>
      </c>
    </row>
    <row r="321" spans="1:1" ht="86.25">
      <c r="A321" s="12" t="s">
        <v>340</v>
      </c>
    </row>
    <row r="322" spans="1:1" ht="103.5">
      <c r="A322" s="12" t="s">
        <v>341</v>
      </c>
    </row>
    <row r="323" spans="1:1" ht="17.25">
      <c r="A323" s="12" t="s">
        <v>342</v>
      </c>
    </row>
    <row r="324" spans="1:1" ht="51.75">
      <c r="A324" s="12" t="s">
        <v>343</v>
      </c>
    </row>
    <row r="325" spans="1:1" ht="51.75">
      <c r="A325" s="12" t="s">
        <v>344</v>
      </c>
    </row>
    <row r="326" spans="1:1" ht="86.25">
      <c r="A326" s="12" t="s">
        <v>345</v>
      </c>
    </row>
    <row r="327" spans="1:1" ht="69">
      <c r="A327" s="12" t="s">
        <v>346</v>
      </c>
    </row>
    <row r="328" spans="1:1">
      <c r="A328" s="10" t="s">
        <v>347</v>
      </c>
    </row>
    <row r="329" spans="1:1">
      <c r="A329" s="1"/>
    </row>
    <row r="330" spans="1:1">
      <c r="A330" s="1" t="s">
        <v>348</v>
      </c>
    </row>
    <row r="331" spans="1:1">
      <c r="A331" s="1" t="s">
        <v>349</v>
      </c>
    </row>
    <row r="332" spans="1:1">
      <c r="A332" s="1" t="s">
        <v>350</v>
      </c>
    </row>
    <row r="333" spans="1:1">
      <c r="A333" s="1" t="s">
        <v>351</v>
      </c>
    </row>
    <row r="334" spans="1:1">
      <c r="A334" s="10" t="s">
        <v>49</v>
      </c>
    </row>
    <row r="335" spans="1:1">
      <c r="A335" s="10" t="s">
        <v>352</v>
      </c>
    </row>
    <row r="336" spans="1:1">
      <c r="A336" s="10" t="s">
        <v>54</v>
      </c>
    </row>
    <row r="337" spans="1:1">
      <c r="A337" s="10" t="s">
        <v>353</v>
      </c>
    </row>
    <row r="338" spans="1:1">
      <c r="A338" s="10" t="s">
        <v>354</v>
      </c>
    </row>
    <row r="339" spans="1:1">
      <c r="A339" s="10" t="s">
        <v>355</v>
      </c>
    </row>
    <row r="340" spans="1:1">
      <c r="A340" s="10" t="s">
        <v>58</v>
      </c>
    </row>
    <row r="341" spans="1:1">
      <c r="A341" s="10" t="s">
        <v>356</v>
      </c>
    </row>
    <row r="342" spans="1:1">
      <c r="A342" s="10" t="s">
        <v>357</v>
      </c>
    </row>
    <row r="343" spans="1:1">
      <c r="A343" s="10" t="s">
        <v>358</v>
      </c>
    </row>
    <row r="344" spans="1:1">
      <c r="A344" s="10" t="s">
        <v>359</v>
      </c>
    </row>
    <row r="345" spans="1:1">
      <c r="A345" s="10" t="s">
        <v>360</v>
      </c>
    </row>
    <row r="346" spans="1:1">
      <c r="A346" s="10" t="s">
        <v>361</v>
      </c>
    </row>
    <row r="347" spans="1:1">
      <c r="A347" s="1" t="s">
        <v>362</v>
      </c>
    </row>
    <row r="348" spans="1:1">
      <c r="A348" s="10" t="s">
        <v>363</v>
      </c>
    </row>
    <row r="349" spans="1:1">
      <c r="A349" s="10" t="s">
        <v>364</v>
      </c>
    </row>
    <row r="350" spans="1:1">
      <c r="A350" s="10" t="s">
        <v>365</v>
      </c>
    </row>
    <row r="351" spans="1:1">
      <c r="A351" s="10" t="s">
        <v>366</v>
      </c>
    </row>
    <row r="352" spans="1:1">
      <c r="A352" s="10" t="s">
        <v>367</v>
      </c>
    </row>
    <row r="353" spans="1:1">
      <c r="A353" s="10" t="s">
        <v>368</v>
      </c>
    </row>
    <row r="354" spans="1:1">
      <c r="A354" s="10" t="s">
        <v>369</v>
      </c>
    </row>
    <row r="357" spans="1:1">
      <c r="A357" s="1" t="s">
        <v>370</v>
      </c>
    </row>
    <row r="358" spans="1:1">
      <c r="A358" s="1" t="s">
        <v>371</v>
      </c>
    </row>
    <row r="359" spans="1:1">
      <c r="A359" s="1" t="s">
        <v>351</v>
      </c>
    </row>
    <row r="360" spans="1:1">
      <c r="A360" s="10" t="s">
        <v>372</v>
      </c>
    </row>
    <row r="361" spans="1:1">
      <c r="A361" s="10" t="s">
        <v>373</v>
      </c>
    </row>
    <row r="362" spans="1:1">
      <c r="A362" s="10" t="s">
        <v>374</v>
      </c>
    </row>
    <row r="363" spans="1:1">
      <c r="A363" s="10" t="s">
        <v>375</v>
      </c>
    </row>
    <row r="364" spans="1:1">
      <c r="A364" s="10" t="s">
        <v>376</v>
      </c>
    </row>
    <row r="365" spans="1:1">
      <c r="A365" s="10" t="s">
        <v>66</v>
      </c>
    </row>
    <row r="366" spans="1:1">
      <c r="A366" s="10" t="s">
        <v>377</v>
      </c>
    </row>
    <row r="367" spans="1:1">
      <c r="A367" s="10" t="s">
        <v>378</v>
      </c>
    </row>
    <row r="368" spans="1:1">
      <c r="A368" s="10" t="s">
        <v>379</v>
      </c>
    </row>
    <row r="369" spans="1:1">
      <c r="A369" s="10" t="s">
        <v>380</v>
      </c>
    </row>
    <row r="370" spans="1:1">
      <c r="A370" s="10" t="s">
        <v>381</v>
      </c>
    </row>
    <row r="371" spans="1:1">
      <c r="A371" s="10" t="s">
        <v>382</v>
      </c>
    </row>
    <row r="372" spans="1:1">
      <c r="A372" s="10" t="s">
        <v>383</v>
      </c>
    </row>
    <row r="373" spans="1:1">
      <c r="A373" s="10" t="s">
        <v>384</v>
      </c>
    </row>
    <row r="374" spans="1:1">
      <c r="A374" s="1" t="s">
        <v>362</v>
      </c>
    </row>
    <row r="375" spans="1:1">
      <c r="A375" s="10" t="s">
        <v>363</v>
      </c>
    </row>
    <row r="376" spans="1:1">
      <c r="A376" s="10" t="s">
        <v>364</v>
      </c>
    </row>
    <row r="377" spans="1:1">
      <c r="A377" s="10" t="s">
        <v>385</v>
      </c>
    </row>
    <row r="378" spans="1:1">
      <c r="A378" s="10" t="s">
        <v>386</v>
      </c>
    </row>
    <row r="379" spans="1:1">
      <c r="A379" s="10" t="s">
        <v>387</v>
      </c>
    </row>
    <row r="380" spans="1:1">
      <c r="A380" s="10" t="s">
        <v>388</v>
      </c>
    </row>
    <row r="381" spans="1:1">
      <c r="A381" s="10" t="s">
        <v>389</v>
      </c>
    </row>
    <row r="382" spans="1:1">
      <c r="A382" s="10" t="s">
        <v>390</v>
      </c>
    </row>
    <row r="385" spans="1:1">
      <c r="A385" s="1" t="s">
        <v>391</v>
      </c>
    </row>
    <row r="386" spans="1:1">
      <c r="A386" s="1" t="s">
        <v>201</v>
      </c>
    </row>
    <row r="387" spans="1:1">
      <c r="A387" s="10" t="s">
        <v>392</v>
      </c>
    </row>
    <row r="388" spans="1:1">
      <c r="A388" s="10" t="s">
        <v>393</v>
      </c>
    </row>
    <row r="389" spans="1:1">
      <c r="A389" s="10" t="s">
        <v>394</v>
      </c>
    </row>
    <row r="390" spans="1:1">
      <c r="A390" s="10" t="s">
        <v>395</v>
      </c>
    </row>
    <row r="391" spans="1:1">
      <c r="A391" s="10" t="s">
        <v>396</v>
      </c>
    </row>
    <row r="392" spans="1:1">
      <c r="A392" s="10" t="s">
        <v>397</v>
      </c>
    </row>
    <row r="393" spans="1:1">
      <c r="A393" s="10" t="s">
        <v>398</v>
      </c>
    </row>
    <row r="394" spans="1:1">
      <c r="A394" s="10" t="s">
        <v>399</v>
      </c>
    </row>
    <row r="395" spans="1:1">
      <c r="A395" s="1" t="s">
        <v>400</v>
      </c>
    </row>
    <row r="396" spans="1:1">
      <c r="A396" s="10" t="s">
        <v>401</v>
      </c>
    </row>
    <row r="397" spans="1:1">
      <c r="A397" s="10" t="s">
        <v>402</v>
      </c>
    </row>
    <row r="398" spans="1:1">
      <c r="A398" s="10" t="s">
        <v>403</v>
      </c>
    </row>
    <row r="401" spans="1:1">
      <c r="A401" s="1" t="s">
        <v>404</v>
      </c>
    </row>
    <row r="402" spans="1:1">
      <c r="A402" s="1" t="s">
        <v>201</v>
      </c>
    </row>
    <row r="403" spans="1:1">
      <c r="A403" s="10" t="s">
        <v>405</v>
      </c>
    </row>
    <row r="404" spans="1:1">
      <c r="A404" s="10" t="s">
        <v>406</v>
      </c>
    </row>
    <row r="405" spans="1:1">
      <c r="A405" s="10" t="s">
        <v>407</v>
      </c>
    </row>
    <row r="406" spans="1:1">
      <c r="A406" s="10" t="s">
        <v>408</v>
      </c>
    </row>
    <row r="407" spans="1:1">
      <c r="A407" s="10" t="s">
        <v>409</v>
      </c>
    </row>
    <row r="408" spans="1:1">
      <c r="A408" s="10" t="s">
        <v>410</v>
      </c>
    </row>
    <row r="409" spans="1:1">
      <c r="A409" s="10" t="s">
        <v>54</v>
      </c>
    </row>
    <row r="410" spans="1:1">
      <c r="A410" s="10" t="s">
        <v>411</v>
      </c>
    </row>
    <row r="413" spans="1:1">
      <c r="A413" s="1" t="s">
        <v>412</v>
      </c>
    </row>
    <row r="414" spans="1:1">
      <c r="A414" s="1" t="s">
        <v>413</v>
      </c>
    </row>
    <row r="415" spans="1:1">
      <c r="A415" s="1" t="s">
        <v>414</v>
      </c>
    </row>
    <row r="416" spans="1:1">
      <c r="A416" s="10" t="s">
        <v>415</v>
      </c>
    </row>
    <row r="417" spans="1:1">
      <c r="A417" s="10" t="s">
        <v>416</v>
      </c>
    </row>
    <row r="418" spans="1:1">
      <c r="A418" s="10" t="s">
        <v>417</v>
      </c>
    </row>
    <row r="419" spans="1:1">
      <c r="A419" s="10" t="s">
        <v>418</v>
      </c>
    </row>
    <row r="420" spans="1:1">
      <c r="A420" s="10" t="s">
        <v>419</v>
      </c>
    </row>
    <row r="421" spans="1:1">
      <c r="A421" s="1" t="s">
        <v>420</v>
      </c>
    </row>
    <row r="422" spans="1:1">
      <c r="A422" s="10" t="s">
        <v>421</v>
      </c>
    </row>
    <row r="423" spans="1:1">
      <c r="A423" s="10" t="s">
        <v>422</v>
      </c>
    </row>
    <row r="424" spans="1:1">
      <c r="A424" s="10" t="s">
        <v>423</v>
      </c>
    </row>
    <row r="425" spans="1:1">
      <c r="A425" s="10" t="s">
        <v>424</v>
      </c>
    </row>
    <row r="426" spans="1:1">
      <c r="A426" s="1" t="s">
        <v>425</v>
      </c>
    </row>
    <row r="427" spans="1:1">
      <c r="A427" s="10" t="s">
        <v>426</v>
      </c>
    </row>
    <row r="428" spans="1:1">
      <c r="A428" s="10" t="s">
        <v>427</v>
      </c>
    </row>
    <row r="429" spans="1:1">
      <c r="A429" s="10" t="s">
        <v>428</v>
      </c>
    </row>
    <row r="430" spans="1:1">
      <c r="A430" s="10" t="s">
        <v>429</v>
      </c>
    </row>
    <row r="431" spans="1:1">
      <c r="A431" s="10" t="s">
        <v>430</v>
      </c>
    </row>
    <row r="432" spans="1:1">
      <c r="A432" s="10" t="s">
        <v>431</v>
      </c>
    </row>
    <row r="435" spans="1:1">
      <c r="A435" s="1" t="s">
        <v>432</v>
      </c>
    </row>
    <row r="436" spans="1:1">
      <c r="A436" s="1" t="s">
        <v>433</v>
      </c>
    </row>
    <row r="437" spans="1:1">
      <c r="A437" s="10" t="s">
        <v>434</v>
      </c>
    </row>
    <row r="438" spans="1:1">
      <c r="A438" s="10" t="s">
        <v>435</v>
      </c>
    </row>
    <row r="439" spans="1:1">
      <c r="A439" s="10" t="s">
        <v>436</v>
      </c>
    </row>
    <row r="440" spans="1:1">
      <c r="A440" s="13" t="s">
        <v>19</v>
      </c>
    </row>
    <row r="441" spans="1:1">
      <c r="A441" s="13" t="s">
        <v>20</v>
      </c>
    </row>
    <row r="442" spans="1:1">
      <c r="A442" s="10" t="s">
        <v>437</v>
      </c>
    </row>
    <row r="443" spans="1:1">
      <c r="A443" s="10" t="s">
        <v>438</v>
      </c>
    </row>
    <row r="444" spans="1:1">
      <c r="A444" s="10" t="s">
        <v>439</v>
      </c>
    </row>
    <row r="445" spans="1:1">
      <c r="A445" s="10" t="s">
        <v>440</v>
      </c>
    </row>
    <row r="446" spans="1:1">
      <c r="A446" s="10" t="s">
        <v>441</v>
      </c>
    </row>
    <row r="449" spans="1:1">
      <c r="A449" s="1" t="s">
        <v>442</v>
      </c>
    </row>
    <row r="450" spans="1:1">
      <c r="A450" s="1" t="s">
        <v>443</v>
      </c>
    </row>
    <row r="451" spans="1:1">
      <c r="A451" s="10" t="s">
        <v>444</v>
      </c>
    </row>
    <row r="452" spans="1:1">
      <c r="A452" s="10" t="s">
        <v>445</v>
      </c>
    </row>
    <row r="453" spans="1:1">
      <c r="A453" s="10" t="s">
        <v>446</v>
      </c>
    </row>
    <row r="454" spans="1:1">
      <c r="A454" s="10" t="s">
        <v>447</v>
      </c>
    </row>
    <row r="455" spans="1:1">
      <c r="A455" s="10" t="s">
        <v>448</v>
      </c>
    </row>
    <row r="456" spans="1:1">
      <c r="A456" s="10" t="s">
        <v>449</v>
      </c>
    </row>
    <row r="457" spans="1:1">
      <c r="A457" s="10" t="s">
        <v>450</v>
      </c>
    </row>
    <row r="458" spans="1:1">
      <c r="A458" s="10" t="s">
        <v>451</v>
      </c>
    </row>
    <row r="459" spans="1:1">
      <c r="A459" s="10" t="s">
        <v>452</v>
      </c>
    </row>
    <row r="460" spans="1:1">
      <c r="A460" s="10" t="s">
        <v>453</v>
      </c>
    </row>
    <row r="463" spans="1:1">
      <c r="A463" s="1" t="s">
        <v>454</v>
      </c>
    </row>
    <row r="464" spans="1:1">
      <c r="A464" s="1" t="s">
        <v>455</v>
      </c>
    </row>
    <row r="465" spans="1:1">
      <c r="A465" s="10" t="s">
        <v>160</v>
      </c>
    </row>
    <row r="466" spans="1:1">
      <c r="A466" s="10" t="s">
        <v>61</v>
      </c>
    </row>
    <row r="467" spans="1:1">
      <c r="A467" s="10" t="s">
        <v>52</v>
      </c>
    </row>
    <row r="468" spans="1:1">
      <c r="A468" s="10" t="s">
        <v>456</v>
      </c>
    </row>
    <row r="469" spans="1:1">
      <c r="A469" s="10" t="s">
        <v>457</v>
      </c>
    </row>
    <row r="470" spans="1:1">
      <c r="A470" s="10" t="s">
        <v>66</v>
      </c>
    </row>
    <row r="471" spans="1:1">
      <c r="A471" s="10" t="s">
        <v>458</v>
      </c>
    </row>
    <row r="472" spans="1:1">
      <c r="A472" s="10" t="s">
        <v>459</v>
      </c>
    </row>
    <row r="473" spans="1:1">
      <c r="A473" s="10" t="s">
        <v>65</v>
      </c>
    </row>
    <row r="474" spans="1:1">
      <c r="A474" s="10" t="s">
        <v>460</v>
      </c>
    </row>
    <row r="477" spans="1:1">
      <c r="A477" s="1" t="s">
        <v>461</v>
      </c>
    </row>
    <row r="478" spans="1:1">
      <c r="A478" s="1" t="s">
        <v>462</v>
      </c>
    </row>
    <row r="479" spans="1:1">
      <c r="A479" s="10" t="s">
        <v>463</v>
      </c>
    </row>
    <row r="480" spans="1:1">
      <c r="A480" s="10" t="s">
        <v>464</v>
      </c>
    </row>
    <row r="481" spans="1:1">
      <c r="A481" s="10" t="s">
        <v>465</v>
      </c>
    </row>
    <row r="482" spans="1:1">
      <c r="A482" s="10" t="s">
        <v>466</v>
      </c>
    </row>
    <row r="483" spans="1:1">
      <c r="A483" s="10" t="s">
        <v>467</v>
      </c>
    </row>
    <row r="484" spans="1:1">
      <c r="A484" s="10" t="s">
        <v>468</v>
      </c>
    </row>
    <row r="485" spans="1:1">
      <c r="A485" s="10" t="s">
        <v>414</v>
      </c>
    </row>
    <row r="486" spans="1:1">
      <c r="A486" s="10" t="s">
        <v>425</v>
      </c>
    </row>
    <row r="487" spans="1:1">
      <c r="A487" s="10" t="s">
        <v>469</v>
      </c>
    </row>
    <row r="488" spans="1:1">
      <c r="A488" s="1" t="s">
        <v>470</v>
      </c>
    </row>
    <row r="489" spans="1:1">
      <c r="A489" s="10" t="s">
        <v>463</v>
      </c>
    </row>
    <row r="490" spans="1:1">
      <c r="A490" s="10" t="s">
        <v>464</v>
      </c>
    </row>
    <row r="491" spans="1:1">
      <c r="A491" s="10" t="s">
        <v>471</v>
      </c>
    </row>
    <row r="492" spans="1:1">
      <c r="A492" s="13" t="s">
        <v>19</v>
      </c>
    </row>
    <row r="493" spans="1:1">
      <c r="A493" s="13" t="s">
        <v>20</v>
      </c>
    </row>
    <row r="494" spans="1:1">
      <c r="A494" s="10" t="s">
        <v>414</v>
      </c>
    </row>
    <row r="495" spans="1:1">
      <c r="A495" s="10" t="s">
        <v>472</v>
      </c>
    </row>
    <row r="496" spans="1:1">
      <c r="A496" s="10" t="s">
        <v>467</v>
      </c>
    </row>
    <row r="497" spans="1:1">
      <c r="A497" s="10" t="s">
        <v>468</v>
      </c>
    </row>
    <row r="498" spans="1:1">
      <c r="A498" s="10" t="s">
        <v>425</v>
      </c>
    </row>
    <row r="499" spans="1:1">
      <c r="A499" s="10" t="s">
        <v>469</v>
      </c>
    </row>
    <row r="500" spans="1:1">
      <c r="A500" s="10" t="s">
        <v>473</v>
      </c>
    </row>
    <row r="503" spans="1:1">
      <c r="A503" s="1"/>
    </row>
    <row r="504" spans="1:1">
      <c r="A504" s="14"/>
    </row>
    <row r="505" spans="1:1">
      <c r="A505" s="14"/>
    </row>
    <row r="506" spans="1:1">
      <c r="A506" s="14"/>
    </row>
    <row r="507" spans="1:1">
      <c r="A507" s="14"/>
    </row>
    <row r="508" spans="1:1">
      <c r="A508" s="14"/>
    </row>
    <row r="509" spans="1:1">
      <c r="A509" s="14"/>
    </row>
    <row r="510" spans="1:1">
      <c r="A510" s="14"/>
    </row>
    <row r="511" spans="1:1">
      <c r="A511" s="14"/>
    </row>
    <row r="512" spans="1:1">
      <c r="A512" s="14"/>
    </row>
    <row r="513" spans="1:1">
      <c r="A513" s="14"/>
    </row>
    <row r="514" spans="1:1">
      <c r="A514" s="14"/>
    </row>
    <row r="515" spans="1:1">
      <c r="A515" s="14"/>
    </row>
    <row r="516" spans="1:1">
      <c r="A516" s="14"/>
    </row>
    <row r="517" spans="1:1">
      <c r="A517" s="14"/>
    </row>
    <row r="518" spans="1:1">
      <c r="A518" s="14"/>
    </row>
    <row r="519" spans="1:1">
      <c r="A519" s="14"/>
    </row>
    <row r="520" spans="1:1">
      <c r="A520" s="14"/>
    </row>
    <row r="521" spans="1:1">
      <c r="A521" s="14"/>
    </row>
    <row r="522" spans="1:1">
      <c r="A522" s="14"/>
    </row>
    <row r="523" spans="1:1">
      <c r="A523" s="14"/>
    </row>
    <row r="524" spans="1:1">
      <c r="A524" s="14"/>
    </row>
    <row r="525" spans="1:1">
      <c r="A525" s="14"/>
    </row>
    <row r="526" spans="1:1">
      <c r="A526" s="14"/>
    </row>
    <row r="527" spans="1:1">
      <c r="A527" s="14"/>
    </row>
    <row r="528" spans="1:1" ht="60">
      <c r="A528" s="14" t="s">
        <v>474</v>
      </c>
    </row>
    <row r="529" spans="1:1">
      <c r="A529" s="1"/>
    </row>
    <row r="530" spans="1:1">
      <c r="A530" s="1" t="s">
        <v>475</v>
      </c>
    </row>
    <row r="531" spans="1:1">
      <c r="A531" s="1" t="s">
        <v>476</v>
      </c>
    </row>
    <row r="532" spans="1:1">
      <c r="A532" s="1" t="s">
        <v>477</v>
      </c>
    </row>
    <row r="533" spans="1:1">
      <c r="A533" s="1" t="s">
        <v>478</v>
      </c>
    </row>
    <row r="534" spans="1:1">
      <c r="A534" s="10" t="s">
        <v>434</v>
      </c>
    </row>
    <row r="535" spans="1:1">
      <c r="A535" s="10" t="s">
        <v>435</v>
      </c>
    </row>
    <row r="536" spans="1:1">
      <c r="A536" s="10" t="s">
        <v>436</v>
      </c>
    </row>
    <row r="537" spans="1:1">
      <c r="A537" s="13" t="s">
        <v>19</v>
      </c>
    </row>
    <row r="538" spans="1:1">
      <c r="A538" s="13" t="s">
        <v>20</v>
      </c>
    </row>
    <row r="539" spans="1:1">
      <c r="A539" s="10" t="s">
        <v>437</v>
      </c>
    </row>
    <row r="540" spans="1:1">
      <c r="A540" s="10" t="s">
        <v>438</v>
      </c>
    </row>
    <row r="541" spans="1:1">
      <c r="A541" s="10" t="s">
        <v>439</v>
      </c>
    </row>
    <row r="542" spans="1:1">
      <c r="A542" s="10" t="s">
        <v>440</v>
      </c>
    </row>
    <row r="543" spans="1:1">
      <c r="A543" s="10" t="s">
        <v>441</v>
      </c>
    </row>
    <row r="546" spans="1:1">
      <c r="A546" s="1" t="s">
        <v>479</v>
      </c>
    </row>
    <row r="547" spans="1:1">
      <c r="A547" s="1" t="s">
        <v>480</v>
      </c>
    </row>
    <row r="548" spans="1:1">
      <c r="A548" s="1" t="s">
        <v>201</v>
      </c>
    </row>
    <row r="549" spans="1:1">
      <c r="A549" s="10" t="s">
        <v>481</v>
      </c>
    </row>
    <row r="550" spans="1:1">
      <c r="A550" s="10" t="s">
        <v>203</v>
      </c>
    </row>
    <row r="551" spans="1:1">
      <c r="A551" s="10" t="s">
        <v>482</v>
      </c>
    </row>
    <row r="552" spans="1:1">
      <c r="A552" s="10" t="s">
        <v>483</v>
      </c>
    </row>
    <row r="553" spans="1:1">
      <c r="A553" s="10" t="s">
        <v>206</v>
      </c>
    </row>
    <row r="554" spans="1:1">
      <c r="A554" s="10" t="s">
        <v>207</v>
      </c>
    </row>
    <row r="555" spans="1:1">
      <c r="A555" s="10" t="s">
        <v>484</v>
      </c>
    </row>
    <row r="556" spans="1:1">
      <c r="A556" s="13" t="s">
        <v>465</v>
      </c>
    </row>
    <row r="557" spans="1:1">
      <c r="A557" s="13" t="s">
        <v>466</v>
      </c>
    </row>
    <row r="558" spans="1:1">
      <c r="A558" s="13" t="s">
        <v>467</v>
      </c>
    </row>
    <row r="559" spans="1:1">
      <c r="A559" s="13" t="s">
        <v>485</v>
      </c>
    </row>
    <row r="560" spans="1:1">
      <c r="A560" s="10" t="s">
        <v>425</v>
      </c>
    </row>
    <row r="561" spans="1:1">
      <c r="A561" s="10" t="s">
        <v>486</v>
      </c>
    </row>
    <row r="564" spans="1:1">
      <c r="A564" s="1" t="s">
        <v>487</v>
      </c>
    </row>
    <row r="565" spans="1:1">
      <c r="A565" s="1" t="s">
        <v>488</v>
      </c>
    </row>
    <row r="566" spans="1:1">
      <c r="A566" s="10" t="s">
        <v>489</v>
      </c>
    </row>
    <row r="567" spans="1:1">
      <c r="A567" s="10" t="s">
        <v>490</v>
      </c>
    </row>
    <row r="568" spans="1:1">
      <c r="A568" s="10" t="s">
        <v>491</v>
      </c>
    </row>
    <row r="569" spans="1:1">
      <c r="A569" s="10" t="s">
        <v>492</v>
      </c>
    </row>
    <row r="570" spans="1:1">
      <c r="A570" s="10" t="s">
        <v>493</v>
      </c>
    </row>
    <row r="571" spans="1:1">
      <c r="A571" s="10" t="s">
        <v>494</v>
      </c>
    </row>
    <row r="572" spans="1:1">
      <c r="A572" s="10" t="s">
        <v>495</v>
      </c>
    </row>
    <row r="573" spans="1:1">
      <c r="A573" s="10" t="s">
        <v>496</v>
      </c>
    </row>
    <row r="574" spans="1:1">
      <c r="A574" s="10" t="s">
        <v>497</v>
      </c>
    </row>
    <row r="577" spans="1:1">
      <c r="A577" s="1" t="s">
        <v>498</v>
      </c>
    </row>
    <row r="578" spans="1:1">
      <c r="A578" s="1" t="s">
        <v>499</v>
      </c>
    </row>
    <row r="579" spans="1:1">
      <c r="A579" s="1" t="s">
        <v>488</v>
      </c>
    </row>
    <row r="580" spans="1:1">
      <c r="A580" s="10" t="s">
        <v>500</v>
      </c>
    </row>
    <row r="581" spans="1:1">
      <c r="A581" s="10" t="s">
        <v>364</v>
      </c>
    </row>
    <row r="582" spans="1:1">
      <c r="A582" s="10" t="s">
        <v>501</v>
      </c>
    </row>
    <row r="583" spans="1:1">
      <c r="A583" s="10" t="s">
        <v>502</v>
      </c>
    </row>
    <row r="584" spans="1:1">
      <c r="A584" s="10" t="s">
        <v>503</v>
      </c>
    </row>
    <row r="585" spans="1:1">
      <c r="A585" s="10" t="s">
        <v>504</v>
      </c>
    </row>
    <row r="586" spans="1:1">
      <c r="A586" s="10" t="s">
        <v>505</v>
      </c>
    </row>
    <row r="587" spans="1:1">
      <c r="A587" s="10" t="s">
        <v>506</v>
      </c>
    </row>
    <row r="588" spans="1:1">
      <c r="A588" s="10" t="s">
        <v>507</v>
      </c>
    </row>
    <row r="589" spans="1:1">
      <c r="A589" s="10" t="s">
        <v>508</v>
      </c>
    </row>
    <row r="590" spans="1:1">
      <c r="A590" s="10" t="s">
        <v>509</v>
      </c>
    </row>
    <row r="593" spans="1:1">
      <c r="A593" s="1" t="s">
        <v>510</v>
      </c>
    </row>
    <row r="594" spans="1:1">
      <c r="A594" s="1" t="s">
        <v>488</v>
      </c>
    </row>
    <row r="595" spans="1:1">
      <c r="A595" s="10" t="s">
        <v>511</v>
      </c>
    </row>
    <row r="596" spans="1:1">
      <c r="A596" s="10" t="s">
        <v>364</v>
      </c>
    </row>
    <row r="597" spans="1:1">
      <c r="A597" s="10" t="s">
        <v>385</v>
      </c>
    </row>
    <row r="598" spans="1:1">
      <c r="A598" s="10" t="s">
        <v>386</v>
      </c>
    </row>
    <row r="599" spans="1:1">
      <c r="A599" s="10" t="s">
        <v>512</v>
      </c>
    </row>
    <row r="600" spans="1:1">
      <c r="A600" s="10" t="s">
        <v>513</v>
      </c>
    </row>
    <row r="601" spans="1:1">
      <c r="A601" s="10" t="s">
        <v>514</v>
      </c>
    </row>
    <row r="602" spans="1:1">
      <c r="A602" s="10" t="s">
        <v>515</v>
      </c>
    </row>
    <row r="603" spans="1:1">
      <c r="A603" s="10" t="s">
        <v>516</v>
      </c>
    </row>
    <row r="604" spans="1:1">
      <c r="A604" s="10" t="s">
        <v>517</v>
      </c>
    </row>
    <row r="607" spans="1:1">
      <c r="A607" s="1" t="s">
        <v>518</v>
      </c>
    </row>
    <row r="608" spans="1:1">
      <c r="A608" s="1" t="s">
        <v>488</v>
      </c>
    </row>
    <row r="609" spans="1:1">
      <c r="A609" s="10" t="s">
        <v>519</v>
      </c>
    </row>
    <row r="610" spans="1:1">
      <c r="A610" s="10" t="s">
        <v>520</v>
      </c>
    </row>
    <row r="611" spans="1:1">
      <c r="A611" s="10" t="s">
        <v>521</v>
      </c>
    </row>
    <row r="612" spans="1:1">
      <c r="A612" s="10" t="s">
        <v>522</v>
      </c>
    </row>
    <row r="613" spans="1:1">
      <c r="A613" s="10" t="s">
        <v>523</v>
      </c>
    </row>
    <row r="614" spans="1:1">
      <c r="A614" s="10" t="s">
        <v>524</v>
      </c>
    </row>
    <row r="615" spans="1:1">
      <c r="A615" s="10" t="s">
        <v>525</v>
      </c>
    </row>
    <row r="616" spans="1:1">
      <c r="A616" s="10" t="s">
        <v>526</v>
      </c>
    </row>
    <row r="619" spans="1:1">
      <c r="A619" s="1" t="s">
        <v>182</v>
      </c>
    </row>
    <row r="620" spans="1:1">
      <c r="A620" s="1" t="s">
        <v>488</v>
      </c>
    </row>
    <row r="621" spans="1:1">
      <c r="A621" s="10" t="s">
        <v>527</v>
      </c>
    </row>
    <row r="622" spans="1:1">
      <c r="A622" s="10" t="s">
        <v>528</v>
      </c>
    </row>
    <row r="623" spans="1:1">
      <c r="A623" s="10" t="s">
        <v>529</v>
      </c>
    </row>
    <row r="624" spans="1:1">
      <c r="A624" s="10" t="s">
        <v>530</v>
      </c>
    </row>
    <row r="625" spans="1:1">
      <c r="A625" s="10" t="s">
        <v>531</v>
      </c>
    </row>
    <row r="626" spans="1:1">
      <c r="A626" s="10" t="s">
        <v>532</v>
      </c>
    </row>
    <row r="627" spans="1:1">
      <c r="A627" s="10" t="s">
        <v>533</v>
      </c>
    </row>
    <row r="628" spans="1:1">
      <c r="A628" s="10" t="s">
        <v>534</v>
      </c>
    </row>
    <row r="631" spans="1:1">
      <c r="A631" s="1" t="s">
        <v>535</v>
      </c>
    </row>
    <row r="632" spans="1:1">
      <c r="A632" s="1" t="s">
        <v>488</v>
      </c>
    </row>
    <row r="633" spans="1:1">
      <c r="A633" s="10" t="s">
        <v>536</v>
      </c>
    </row>
    <row r="634" spans="1:1">
      <c r="A634" s="10" t="s">
        <v>537</v>
      </c>
    </row>
    <row r="635" spans="1:1">
      <c r="A635" s="10" t="s">
        <v>538</v>
      </c>
    </row>
    <row r="636" spans="1:1">
      <c r="A636" s="10" t="s">
        <v>539</v>
      </c>
    </row>
    <row r="637" spans="1:1">
      <c r="A637" s="10" t="s">
        <v>117</v>
      </c>
    </row>
    <row r="638" spans="1:1">
      <c r="A638" s="10" t="s">
        <v>540</v>
      </c>
    </row>
    <row r="639" spans="1:1">
      <c r="A639" s="10" t="s">
        <v>541</v>
      </c>
    </row>
    <row r="640" spans="1:1">
      <c r="A640" s="10" t="s">
        <v>542</v>
      </c>
    </row>
    <row r="643" spans="1:1">
      <c r="A643" s="1" t="s">
        <v>543</v>
      </c>
    </row>
    <row r="644" spans="1:1">
      <c r="A644" s="10" t="s">
        <v>544</v>
      </c>
    </row>
    <row r="645" spans="1:1">
      <c r="A645" s="10" t="s">
        <v>545</v>
      </c>
    </row>
    <row r="646" spans="1:1">
      <c r="A646" s="10" t="s">
        <v>546</v>
      </c>
    </row>
    <row r="647" spans="1:1">
      <c r="A647" s="10" t="s">
        <v>429</v>
      </c>
    </row>
    <row r="648" spans="1:1">
      <c r="A648" s="10" t="s">
        <v>430</v>
      </c>
    </row>
    <row r="649" spans="1:1">
      <c r="A649" s="10" t="s">
        <v>547</v>
      </c>
    </row>
    <row r="650" spans="1:1">
      <c r="A650" s="10" t="s">
        <v>548</v>
      </c>
    </row>
    <row r="651" spans="1:1">
      <c r="A651" s="10" t="s">
        <v>549</v>
      </c>
    </row>
    <row r="654" spans="1:1">
      <c r="A654" s="1" t="s">
        <v>550</v>
      </c>
    </row>
    <row r="655" spans="1:1">
      <c r="A655" s="10" t="s">
        <v>551</v>
      </c>
    </row>
    <row r="656" spans="1:1">
      <c r="A656" s="10" t="s">
        <v>552</v>
      </c>
    </row>
    <row r="657" spans="1:1">
      <c r="A657" s="10" t="s">
        <v>553</v>
      </c>
    </row>
    <row r="658" spans="1:1">
      <c r="A658" s="10" t="s">
        <v>554</v>
      </c>
    </row>
    <row r="659" spans="1:1">
      <c r="A659" s="10" t="s">
        <v>555</v>
      </c>
    </row>
    <row r="660" spans="1:1">
      <c r="A660" s="10" t="s">
        <v>556</v>
      </c>
    </row>
    <row r="663" spans="1:1">
      <c r="A663" s="1" t="s">
        <v>557</v>
      </c>
    </row>
    <row r="664" spans="1:1">
      <c r="A664" s="1" t="s">
        <v>558</v>
      </c>
    </row>
    <row r="665" spans="1:1">
      <c r="A665" s="1" t="s">
        <v>559</v>
      </c>
    </row>
    <row r="666" spans="1:1">
      <c r="A666" s="1" t="s">
        <v>160</v>
      </c>
    </row>
    <row r="667" spans="1:1">
      <c r="A667" s="10" t="s">
        <v>560</v>
      </c>
    </row>
    <row r="668" spans="1:1">
      <c r="A668" s="10" t="s">
        <v>355</v>
      </c>
    </row>
    <row r="669" spans="1:1">
      <c r="A669" s="10" t="s">
        <v>561</v>
      </c>
    </row>
    <row r="670" spans="1:1">
      <c r="A670" s="10" t="s">
        <v>562</v>
      </c>
    </row>
    <row r="671" spans="1:1">
      <c r="A671" s="10" t="s">
        <v>563</v>
      </c>
    </row>
    <row r="672" spans="1:1">
      <c r="A672" s="1" t="s">
        <v>564</v>
      </c>
    </row>
    <row r="673" spans="1:1">
      <c r="A673" s="10" t="s">
        <v>352</v>
      </c>
    </row>
    <row r="674" spans="1:1">
      <c r="A674" s="10" t="s">
        <v>54</v>
      </c>
    </row>
    <row r="675" spans="1:1">
      <c r="A675" s="10" t="s">
        <v>358</v>
      </c>
    </row>
    <row r="676" spans="1:1">
      <c r="A676" s="10" t="s">
        <v>565</v>
      </c>
    </row>
    <row r="677" spans="1:1">
      <c r="A677" s="10" t="s">
        <v>566</v>
      </c>
    </row>
    <row r="678" spans="1:1">
      <c r="A678" s="1" t="s">
        <v>456</v>
      </c>
    </row>
    <row r="679" spans="1:1">
      <c r="A679" s="10" t="s">
        <v>567</v>
      </c>
    </row>
    <row r="680" spans="1:1">
      <c r="A680" s="10" t="s">
        <v>568</v>
      </c>
    </row>
    <row r="681" spans="1:1">
      <c r="A681" s="10" t="s">
        <v>569</v>
      </c>
    </row>
    <row r="682" spans="1:1">
      <c r="A682" s="10" t="s">
        <v>570</v>
      </c>
    </row>
    <row r="683" spans="1:1">
      <c r="A683" s="10" t="s">
        <v>571</v>
      </c>
    </row>
    <row r="684" spans="1:1">
      <c r="A684" s="1" t="s">
        <v>572</v>
      </c>
    </row>
    <row r="685" spans="1:1">
      <c r="A685" s="10" t="s">
        <v>58</v>
      </c>
    </row>
    <row r="686" spans="1:1">
      <c r="A686" s="10" t="s">
        <v>573</v>
      </c>
    </row>
    <row r="687" spans="1:1">
      <c r="A687" s="10" t="s">
        <v>574</v>
      </c>
    </row>
    <row r="688" spans="1:1">
      <c r="A688" s="10" t="s">
        <v>575</v>
      </c>
    </row>
    <row r="689" spans="1:1">
      <c r="A689" s="1" t="s">
        <v>576</v>
      </c>
    </row>
    <row r="690" spans="1:1">
      <c r="A690" s="10" t="s">
        <v>577</v>
      </c>
    </row>
    <row r="691" spans="1:1">
      <c r="A691" s="10" t="s">
        <v>574</v>
      </c>
    </row>
    <row r="692" spans="1:1">
      <c r="A692" s="10" t="s">
        <v>578</v>
      </c>
    </row>
    <row r="693" spans="1:1">
      <c r="A693" s="10" t="s">
        <v>579</v>
      </c>
    </row>
    <row r="694" spans="1:1">
      <c r="A694" s="1" t="s">
        <v>580</v>
      </c>
    </row>
    <row r="695" spans="1:1">
      <c r="A695" s="10" t="s">
        <v>581</v>
      </c>
    </row>
    <row r="696" spans="1:1">
      <c r="A696" s="10" t="s">
        <v>582</v>
      </c>
    </row>
    <row r="697" spans="1:1">
      <c r="A697" s="10" t="s">
        <v>358</v>
      </c>
    </row>
    <row r="698" spans="1:1">
      <c r="A698" s="10" t="s">
        <v>71</v>
      </c>
    </row>
    <row r="699" spans="1:1">
      <c r="A699" s="10" t="s">
        <v>95</v>
      </c>
    </row>
    <row r="700" spans="1:1">
      <c r="A700" s="10" t="s">
        <v>94</v>
      </c>
    </row>
    <row r="701" spans="1:1">
      <c r="A701" s="10" t="s">
        <v>583</v>
      </c>
    </row>
    <row r="702" spans="1:1">
      <c r="A702" s="1" t="s">
        <v>460</v>
      </c>
    </row>
    <row r="703" spans="1:1">
      <c r="A703" s="10" t="s">
        <v>360</v>
      </c>
    </row>
    <row r="704" spans="1:1">
      <c r="A704" s="10" t="s">
        <v>584</v>
      </c>
    </row>
    <row r="705" spans="1:1">
      <c r="A705" s="10" t="s">
        <v>585</v>
      </c>
    </row>
    <row r="706" spans="1:1">
      <c r="A706" s="10" t="s">
        <v>586</v>
      </c>
    </row>
    <row r="709" spans="1:1">
      <c r="A709" s="1" t="s">
        <v>587</v>
      </c>
    </row>
    <row r="710" spans="1:1">
      <c r="A710" s="1" t="s">
        <v>588</v>
      </c>
    </row>
    <row r="711" spans="1:1">
      <c r="A711" s="10" t="s">
        <v>375</v>
      </c>
    </row>
    <row r="712" spans="1:1">
      <c r="A712" s="10" t="s">
        <v>589</v>
      </c>
    </row>
    <row r="713" spans="1:1">
      <c r="A713" s="10" t="s">
        <v>590</v>
      </c>
    </row>
    <row r="714" spans="1:1">
      <c r="A714" s="10" t="s">
        <v>66</v>
      </c>
    </row>
    <row r="715" spans="1:1">
      <c r="A715" s="10" t="s">
        <v>377</v>
      </c>
    </row>
    <row r="716" spans="1:1">
      <c r="A716" s="10" t="s">
        <v>591</v>
      </c>
    </row>
    <row r="717" spans="1:1">
      <c r="A717" s="10" t="s">
        <v>592</v>
      </c>
    </row>
    <row r="718" spans="1:1">
      <c r="A718" s="10" t="s">
        <v>574</v>
      </c>
    </row>
    <row r="719" spans="1:1">
      <c r="A719" s="10" t="s">
        <v>593</v>
      </c>
    </row>
    <row r="720" spans="1:1">
      <c r="A720" s="1" t="s">
        <v>381</v>
      </c>
    </row>
    <row r="721" spans="1:1">
      <c r="A721" s="10" t="s">
        <v>62</v>
      </c>
    </row>
    <row r="722" spans="1:1">
      <c r="A722" s="10" t="s">
        <v>457</v>
      </c>
    </row>
    <row r="723" spans="1:1">
      <c r="A723" s="10" t="s">
        <v>374</v>
      </c>
    </row>
    <row r="724" spans="1:1">
      <c r="A724" s="10" t="s">
        <v>594</v>
      </c>
    </row>
    <row r="725" spans="1:1">
      <c r="A725" s="10" t="s">
        <v>595</v>
      </c>
    </row>
    <row r="726" spans="1:1">
      <c r="A726" s="10" t="s">
        <v>596</v>
      </c>
    </row>
    <row r="727" spans="1:1">
      <c r="A727" s="10" t="s">
        <v>597</v>
      </c>
    </row>
    <row r="728" spans="1:1">
      <c r="A728" s="10" t="s">
        <v>598</v>
      </c>
    </row>
    <row r="729" spans="1:1">
      <c r="A729" s="10" t="s">
        <v>599</v>
      </c>
    </row>
    <row r="730" spans="1:1">
      <c r="A730" s="1" t="s">
        <v>600</v>
      </c>
    </row>
    <row r="731" spans="1:1">
      <c r="A731" s="10" t="s">
        <v>601</v>
      </c>
    </row>
    <row r="732" spans="1:1">
      <c r="A732" s="10" t="s">
        <v>602</v>
      </c>
    </row>
    <row r="733" spans="1:1">
      <c r="A733" s="10" t="s">
        <v>603</v>
      </c>
    </row>
    <row r="734" spans="1:1">
      <c r="A734" s="10" t="s">
        <v>604</v>
      </c>
    </row>
    <row r="735" spans="1:1">
      <c r="A735" s="1" t="s">
        <v>383</v>
      </c>
    </row>
    <row r="736" spans="1:1">
      <c r="A736" s="10" t="s">
        <v>71</v>
      </c>
    </row>
    <row r="737" spans="1:1">
      <c r="A737" s="10" t="s">
        <v>92</v>
      </c>
    </row>
    <row r="738" spans="1:1">
      <c r="A738" s="10" t="s">
        <v>91</v>
      </c>
    </row>
    <row r="739" spans="1:1">
      <c r="A739" s="10" t="s">
        <v>67</v>
      </c>
    </row>
    <row r="740" spans="1:1">
      <c r="A740" s="10" t="s">
        <v>605</v>
      </c>
    </row>
    <row r="741" spans="1:1">
      <c r="A741" s="10" t="s">
        <v>606</v>
      </c>
    </row>
    <row r="742" spans="1:1">
      <c r="A742" s="10" t="s">
        <v>93</v>
      </c>
    </row>
    <row r="743" spans="1:1">
      <c r="A743" s="10" t="s">
        <v>583</v>
      </c>
    </row>
    <row r="744" spans="1:1">
      <c r="A744" s="1" t="s">
        <v>460</v>
      </c>
    </row>
    <row r="745" spans="1:1">
      <c r="A745" s="10" t="s">
        <v>607</v>
      </c>
    </row>
    <row r="746" spans="1:1">
      <c r="A746" s="10" t="s">
        <v>608</v>
      </c>
    </row>
    <row r="747" spans="1:1">
      <c r="A747" s="10" t="s">
        <v>609</v>
      </c>
    </row>
    <row r="748" spans="1:1">
      <c r="A748" s="10" t="s">
        <v>584</v>
      </c>
    </row>
    <row r="751" spans="1:1">
      <c r="A751" s="1" t="s">
        <v>610</v>
      </c>
    </row>
    <row r="752" spans="1:1">
      <c r="A752" s="1" t="s">
        <v>611</v>
      </c>
    </row>
    <row r="753" spans="1:1">
      <c r="A753" s="10" t="s">
        <v>160</v>
      </c>
    </row>
    <row r="754" spans="1:1">
      <c r="A754" s="10" t="s">
        <v>162</v>
      </c>
    </row>
    <row r="755" spans="1:1">
      <c r="A755" s="10" t="s">
        <v>456</v>
      </c>
    </row>
    <row r="756" spans="1:1">
      <c r="A756" s="10" t="s">
        <v>612</v>
      </c>
    </row>
    <row r="757" spans="1:1">
      <c r="A757" s="10" t="s">
        <v>457</v>
      </c>
    </row>
    <row r="758" spans="1:1">
      <c r="A758" s="10" t="s">
        <v>66</v>
      </c>
    </row>
    <row r="759" spans="1:1">
      <c r="A759" s="10" t="s">
        <v>458</v>
      </c>
    </row>
    <row r="760" spans="1:1">
      <c r="A760" s="10" t="s">
        <v>459</v>
      </c>
    </row>
    <row r="761" spans="1:1">
      <c r="A761" s="10" t="s">
        <v>65</v>
      </c>
    </row>
    <row r="762" spans="1:1">
      <c r="A762" s="10" t="s">
        <v>460</v>
      </c>
    </row>
    <row r="763" spans="1:1">
      <c r="A763" s="1" t="s">
        <v>613</v>
      </c>
    </row>
    <row r="764" spans="1:1">
      <c r="A764" s="10" t="s">
        <v>614</v>
      </c>
    </row>
    <row r="765" spans="1:1">
      <c r="A765" s="10" t="s">
        <v>615</v>
      </c>
    </row>
    <row r="766" spans="1:1">
      <c r="A766" s="10" t="s">
        <v>616</v>
      </c>
    </row>
    <row r="769" spans="1:1">
      <c r="A769" s="1" t="s">
        <v>617</v>
      </c>
    </row>
    <row r="770" spans="1:1">
      <c r="A770" s="1" t="s">
        <v>618</v>
      </c>
    </row>
    <row r="771" spans="1:1">
      <c r="A771" s="10" t="s">
        <v>619</v>
      </c>
    </row>
    <row r="772" spans="1:1">
      <c r="A772" s="10" t="s">
        <v>620</v>
      </c>
    </row>
    <row r="773" spans="1:1">
      <c r="A773" s="10" t="s">
        <v>621</v>
      </c>
    </row>
    <row r="774" spans="1:1">
      <c r="A774" s="10" t="s">
        <v>622</v>
      </c>
    </row>
    <row r="775" spans="1:1">
      <c r="A775" s="10" t="s">
        <v>623</v>
      </c>
    </row>
    <row r="776" spans="1:1">
      <c r="A776" s="10" t="s">
        <v>624</v>
      </c>
    </row>
    <row r="777" spans="1:1">
      <c r="A777" s="10" t="s">
        <v>625</v>
      </c>
    </row>
    <row r="778" spans="1:1">
      <c r="A778" s="10" t="s">
        <v>626</v>
      </c>
    </row>
    <row r="779" spans="1:1">
      <c r="A779" s="10" t="s">
        <v>627</v>
      </c>
    </row>
    <row r="780" spans="1:1">
      <c r="A780" s="10" t="s">
        <v>628</v>
      </c>
    </row>
    <row r="783" spans="1:1">
      <c r="A783" s="1" t="s">
        <v>629</v>
      </c>
    </row>
    <row r="784" spans="1:1">
      <c r="A784" s="1" t="s">
        <v>478</v>
      </c>
    </row>
    <row r="785" spans="1:1">
      <c r="A785" s="10" t="s">
        <v>463</v>
      </c>
    </row>
    <row r="786" spans="1:1">
      <c r="A786" s="10" t="s">
        <v>464</v>
      </c>
    </row>
    <row r="787" spans="1:1">
      <c r="A787" s="10" t="s">
        <v>471</v>
      </c>
    </row>
    <row r="788" spans="1:1">
      <c r="A788" s="13" t="s">
        <v>19</v>
      </c>
    </row>
    <row r="789" spans="1:1">
      <c r="A789" s="13" t="s">
        <v>20</v>
      </c>
    </row>
    <row r="790" spans="1:1">
      <c r="A790" s="10" t="s">
        <v>414</v>
      </c>
    </row>
    <row r="791" spans="1:1">
      <c r="A791" s="10" t="s">
        <v>472</v>
      </c>
    </row>
    <row r="792" spans="1:1">
      <c r="A792" s="10" t="s">
        <v>467</v>
      </c>
    </row>
    <row r="793" spans="1:1">
      <c r="A793" s="10" t="s">
        <v>468</v>
      </c>
    </row>
    <row r="794" spans="1:1">
      <c r="A794" s="10" t="s">
        <v>425</v>
      </c>
    </row>
    <row r="795" spans="1:1">
      <c r="A795" s="10" t="s">
        <v>469</v>
      </c>
    </row>
    <row r="796" spans="1:1">
      <c r="A796" s="10" t="s">
        <v>473</v>
      </c>
    </row>
    <row r="799" spans="1:1">
      <c r="A799" s="1"/>
    </row>
    <row r="800" spans="1:1">
      <c r="A800" s="1" t="s">
        <v>630</v>
      </c>
    </row>
    <row r="801" spans="1:1" ht="17.25">
      <c r="A801" s="8" t="s">
        <v>631</v>
      </c>
    </row>
    <row r="802" spans="1:1">
      <c r="A802" s="1" t="s">
        <v>199</v>
      </c>
    </row>
    <row r="803" spans="1:1">
      <c r="A803" s="1" t="s">
        <v>632</v>
      </c>
    </row>
    <row r="804" spans="1:1">
      <c r="A804" s="1" t="s">
        <v>201</v>
      </c>
    </row>
    <row r="805" spans="1:1">
      <c r="A805" s="1" t="s">
        <v>633</v>
      </c>
    </row>
    <row r="806" spans="1:1" ht="17.25">
      <c r="A806" s="10" t="s">
        <v>634</v>
      </c>
    </row>
    <row r="807" spans="1:1">
      <c r="A807" s="10" t="s">
        <v>635</v>
      </c>
    </row>
    <row r="808" spans="1:1">
      <c r="A808" s="10" t="s">
        <v>636</v>
      </c>
    </row>
    <row r="809" spans="1:1">
      <c r="A809" s="13" t="s">
        <v>637</v>
      </c>
    </row>
    <row r="810" spans="1:1">
      <c r="A810" s="13" t="s">
        <v>638</v>
      </c>
    </row>
    <row r="811" spans="1:1">
      <c r="A811" s="13" t="s">
        <v>639</v>
      </c>
    </row>
    <row r="812" spans="1:1">
      <c r="A812" s="1" t="s">
        <v>640</v>
      </c>
    </row>
    <row r="813" spans="1:1">
      <c r="A813" s="10" t="s">
        <v>641</v>
      </c>
    </row>
    <row r="814" spans="1:1">
      <c r="A814" s="10" t="s">
        <v>642</v>
      </c>
    </row>
    <row r="815" spans="1:1">
      <c r="A815" s="10" t="s">
        <v>643</v>
      </c>
    </row>
    <row r="816" spans="1:1">
      <c r="A816" s="1" t="s">
        <v>644</v>
      </c>
    </row>
    <row r="817" spans="1:1">
      <c r="A817" s="10" t="s">
        <v>49</v>
      </c>
    </row>
    <row r="818" spans="1:1">
      <c r="A818" s="10" t="s">
        <v>375</v>
      </c>
    </row>
    <row r="819" spans="1:1">
      <c r="A819" s="10" t="s">
        <v>456</v>
      </c>
    </row>
    <row r="820" spans="1:1">
      <c r="A820" s="10" t="s">
        <v>457</v>
      </c>
    </row>
    <row r="821" spans="1:1">
      <c r="A821" s="10" t="s">
        <v>604</v>
      </c>
    </row>
    <row r="822" spans="1:1">
      <c r="A822" s="1" t="s">
        <v>645</v>
      </c>
    </row>
    <row r="823" spans="1:1">
      <c r="A823" s="10" t="s">
        <v>646</v>
      </c>
    </row>
    <row r="824" spans="1:1">
      <c r="A824" s="10" t="s">
        <v>647</v>
      </c>
    </row>
    <row r="825" spans="1:1">
      <c r="A825" s="1" t="s">
        <v>648</v>
      </c>
    </row>
    <row r="826" spans="1:1">
      <c r="A826" s="10" t="s">
        <v>649</v>
      </c>
    </row>
    <row r="827" spans="1:1">
      <c r="A827" s="10" t="s">
        <v>650</v>
      </c>
    </row>
    <row r="828" spans="1:1">
      <c r="A828" s="1" t="s">
        <v>439</v>
      </c>
    </row>
    <row r="829" spans="1:1">
      <c r="A829" s="10" t="s">
        <v>651</v>
      </c>
    </row>
    <row r="832" spans="1:1" ht="17.25">
      <c r="A832" s="8" t="s">
        <v>652</v>
      </c>
    </row>
    <row r="833" spans="1:1">
      <c r="A833" s="1" t="s">
        <v>653</v>
      </c>
    </row>
    <row r="834" spans="1:1">
      <c r="A834" s="1" t="s">
        <v>654</v>
      </c>
    </row>
    <row r="835" spans="1:1">
      <c r="A835" s="10" t="s">
        <v>655</v>
      </c>
    </row>
    <row r="836" spans="1:1">
      <c r="A836" s="10" t="s">
        <v>656</v>
      </c>
    </row>
    <row r="837" spans="1:1">
      <c r="A837" s="1" t="s">
        <v>490</v>
      </c>
    </row>
    <row r="838" spans="1:1">
      <c r="A838" s="10" t="s">
        <v>657</v>
      </c>
    </row>
    <row r="839" spans="1:1">
      <c r="A839" s="10" t="s">
        <v>658</v>
      </c>
    </row>
    <row r="840" spans="1:1">
      <c r="A840" s="10" t="s">
        <v>659</v>
      </c>
    </row>
    <row r="841" spans="1:1">
      <c r="A841" s="1" t="s">
        <v>491</v>
      </c>
    </row>
    <row r="842" spans="1:1">
      <c r="A842" s="10" t="s">
        <v>660</v>
      </c>
    </row>
    <row r="843" spans="1:1">
      <c r="A843" s="10" t="s">
        <v>661</v>
      </c>
    </row>
    <row r="844" spans="1:1">
      <c r="A844" s="10" t="s">
        <v>662</v>
      </c>
    </row>
    <row r="845" spans="1:1">
      <c r="A845" s="1" t="s">
        <v>663</v>
      </c>
    </row>
    <row r="846" spans="1:1">
      <c r="A846" s="10" t="s">
        <v>664</v>
      </c>
    </row>
    <row r="847" spans="1:1">
      <c r="A847" s="10" t="s">
        <v>92</v>
      </c>
    </row>
    <row r="848" spans="1:1">
      <c r="A848" s="10" t="s">
        <v>665</v>
      </c>
    </row>
    <row r="849" spans="1:1">
      <c r="A849" s="10" t="s">
        <v>666</v>
      </c>
    </row>
    <row r="850" spans="1:1">
      <c r="A850" s="1" t="s">
        <v>493</v>
      </c>
    </row>
    <row r="851" spans="1:1">
      <c r="A851" s="10" t="s">
        <v>667</v>
      </c>
    </row>
    <row r="852" spans="1:1">
      <c r="A852" s="1" t="s">
        <v>494</v>
      </c>
    </row>
    <row r="853" spans="1:1">
      <c r="A853" s="10" t="s">
        <v>668</v>
      </c>
    </row>
    <row r="854" spans="1:1">
      <c r="A854" s="1" t="s">
        <v>495</v>
      </c>
    </row>
    <row r="855" spans="1:1">
      <c r="A855" s="10" t="s">
        <v>669</v>
      </c>
    </row>
    <row r="856" spans="1:1">
      <c r="A856" s="10" t="s">
        <v>670</v>
      </c>
    </row>
    <row r="857" spans="1:1">
      <c r="A857" s="10" t="s">
        <v>671</v>
      </c>
    </row>
    <row r="860" spans="1:1" ht="17.25">
      <c r="A860" s="8" t="s">
        <v>672</v>
      </c>
    </row>
    <row r="861" spans="1:1">
      <c r="A861" s="1" t="s">
        <v>500</v>
      </c>
    </row>
    <row r="862" spans="1:1">
      <c r="A862" s="1" t="s">
        <v>673</v>
      </c>
    </row>
    <row r="863" spans="1:1">
      <c r="A863" s="10" t="s">
        <v>674</v>
      </c>
    </row>
    <row r="864" spans="1:1">
      <c r="A864" s="10" t="s">
        <v>160</v>
      </c>
    </row>
    <row r="865" spans="1:1">
      <c r="A865" s="10" t="s">
        <v>456</v>
      </c>
    </row>
    <row r="866" spans="1:1">
      <c r="A866" s="10" t="s">
        <v>612</v>
      </c>
    </row>
    <row r="867" spans="1:1">
      <c r="A867" s="10" t="s">
        <v>457</v>
      </c>
    </row>
    <row r="870" spans="1:1">
      <c r="A870" s="1" t="s">
        <v>675</v>
      </c>
    </row>
    <row r="871" spans="1:1">
      <c r="A871" s="1" t="s">
        <v>676</v>
      </c>
    </row>
    <row r="872" spans="1:1">
      <c r="A872" s="10" t="s">
        <v>168</v>
      </c>
    </row>
    <row r="873" spans="1:1">
      <c r="A873" s="10" t="s">
        <v>154</v>
      </c>
    </row>
    <row r="874" spans="1:1">
      <c r="A874" s="10" t="s">
        <v>155</v>
      </c>
    </row>
    <row r="877" spans="1:1">
      <c r="A877" s="1" t="s">
        <v>501</v>
      </c>
    </row>
    <row r="878" spans="1:1">
      <c r="A878" s="10" t="s">
        <v>677</v>
      </c>
    </row>
    <row r="879" spans="1:1">
      <c r="A879" s="10" t="s">
        <v>678</v>
      </c>
    </row>
    <row r="880" spans="1:1">
      <c r="A880" s="10" t="s">
        <v>459</v>
      </c>
    </row>
    <row r="881" spans="1:1" ht="17.25">
      <c r="A881" s="8" t="s">
        <v>679</v>
      </c>
    </row>
    <row r="882" spans="1:1">
      <c r="A882" s="10" t="s">
        <v>680</v>
      </c>
    </row>
    <row r="883" spans="1:1">
      <c r="A883" s="10" t="s">
        <v>681</v>
      </c>
    </row>
    <row r="886" spans="1:1">
      <c r="A886" s="1" t="s">
        <v>682</v>
      </c>
    </row>
    <row r="887" spans="1:1">
      <c r="A887" s="10" t="s">
        <v>683</v>
      </c>
    </row>
    <row r="888" spans="1:1">
      <c r="A888" s="10" t="s">
        <v>358</v>
      </c>
    </row>
    <row r="889" spans="1:1">
      <c r="A889" s="10" t="s">
        <v>684</v>
      </c>
    </row>
    <row r="892" spans="1:1">
      <c r="A892" s="1" t="s">
        <v>685</v>
      </c>
    </row>
    <row r="893" spans="1:1">
      <c r="A893" s="10" t="s">
        <v>686</v>
      </c>
    </row>
    <row r="894" spans="1:1">
      <c r="A894" s="10" t="s">
        <v>570</v>
      </c>
    </row>
    <row r="895" spans="1:1">
      <c r="A895" s="10" t="s">
        <v>571</v>
      </c>
    </row>
    <row r="898" spans="1:1">
      <c r="A898" s="1" t="s">
        <v>504</v>
      </c>
    </row>
    <row r="899" spans="1:1">
      <c r="A899" s="10" t="s">
        <v>687</v>
      </c>
    </row>
    <row r="900" spans="1:1">
      <c r="A900" s="10" t="s">
        <v>157</v>
      </c>
    </row>
    <row r="901" spans="1:1">
      <c r="A901" s="10" t="s">
        <v>688</v>
      </c>
    </row>
    <row r="904" spans="1:1">
      <c r="A904" s="1" t="s">
        <v>12</v>
      </c>
    </row>
    <row r="905" spans="1:1">
      <c r="A905" s="10" t="s">
        <v>689</v>
      </c>
    </row>
    <row r="906" spans="1:1">
      <c r="A906" s="10" t="s">
        <v>91</v>
      </c>
    </row>
    <row r="907" spans="1:1">
      <c r="A907" s="10" t="s">
        <v>71</v>
      </c>
    </row>
    <row r="908" spans="1:1">
      <c r="A908" s="10" t="s">
        <v>70</v>
      </c>
    </row>
    <row r="911" spans="1:1">
      <c r="A911" s="1" t="s">
        <v>13</v>
      </c>
    </row>
    <row r="912" spans="1:1">
      <c r="A912" s="10" t="s">
        <v>690</v>
      </c>
    </row>
    <row r="913" spans="1:1">
      <c r="A913" s="10" t="s">
        <v>52</v>
      </c>
    </row>
    <row r="914" spans="1:1">
      <c r="A914" s="10" t="s">
        <v>456</v>
      </c>
    </row>
    <row r="917" spans="1:1">
      <c r="A917" s="1" t="s">
        <v>691</v>
      </c>
    </row>
    <row r="918" spans="1:1">
      <c r="A918" s="10" t="s">
        <v>692</v>
      </c>
    </row>
    <row r="919" spans="1:1">
      <c r="A919" s="10" t="s">
        <v>693</v>
      </c>
    </row>
    <row r="922" spans="1:1" ht="17.25">
      <c r="A922" s="8" t="s">
        <v>694</v>
      </c>
    </row>
    <row r="923" spans="1:1">
      <c r="A923" s="1" t="s">
        <v>511</v>
      </c>
    </row>
    <row r="924" spans="1:1">
      <c r="A924" s="10" t="s">
        <v>695</v>
      </c>
    </row>
    <row r="925" spans="1:1">
      <c r="A925" s="10" t="s">
        <v>162</v>
      </c>
    </row>
    <row r="926" spans="1:1">
      <c r="A926" s="10" t="s">
        <v>62</v>
      </c>
    </row>
    <row r="927" spans="1:1">
      <c r="A927" s="10" t="s">
        <v>65</v>
      </c>
    </row>
    <row r="928" spans="1:1">
      <c r="A928" s="10" t="s">
        <v>66</v>
      </c>
    </row>
    <row r="931" spans="1:1">
      <c r="A931" s="1" t="s">
        <v>696</v>
      </c>
    </row>
    <row r="932" spans="1:1">
      <c r="A932" s="10" t="s">
        <v>61</v>
      </c>
    </row>
    <row r="933" spans="1:1">
      <c r="A933" s="10" t="s">
        <v>697</v>
      </c>
    </row>
    <row r="934" spans="1:1">
      <c r="A934" s="10" t="s">
        <v>66</v>
      </c>
    </row>
    <row r="937" spans="1:1">
      <c r="A937" s="1" t="s">
        <v>698</v>
      </c>
    </row>
    <row r="938" spans="1:1">
      <c r="A938" s="10" t="s">
        <v>62</v>
      </c>
    </row>
    <row r="939" spans="1:1">
      <c r="A939" s="10" t="s">
        <v>457</v>
      </c>
    </row>
    <row r="940" spans="1:1">
      <c r="A940" s="10" t="s">
        <v>374</v>
      </c>
    </row>
    <row r="943" spans="1:1">
      <c r="A943" s="1" t="s">
        <v>699</v>
      </c>
    </row>
    <row r="944" spans="1:1">
      <c r="A944" s="10" t="s">
        <v>700</v>
      </c>
    </row>
    <row r="945" spans="1:1">
      <c r="A945" s="10" t="s">
        <v>701</v>
      </c>
    </row>
    <row r="946" spans="1:1">
      <c r="A946" s="10" t="s">
        <v>702</v>
      </c>
    </row>
    <row r="949" spans="1:1">
      <c r="A949" s="1" t="s">
        <v>703</v>
      </c>
    </row>
    <row r="950" spans="1:1">
      <c r="A950" s="10" t="s">
        <v>92</v>
      </c>
    </row>
    <row r="951" spans="1:1">
      <c r="A951" s="10" t="s">
        <v>91</v>
      </c>
    </row>
    <row r="952" spans="1:1">
      <c r="A952" s="10" t="s">
        <v>93</v>
      </c>
    </row>
    <row r="953" spans="1:1">
      <c r="A953" s="10" t="s">
        <v>71</v>
      </c>
    </row>
    <row r="956" spans="1:1">
      <c r="A956" s="1" t="s">
        <v>704</v>
      </c>
    </row>
    <row r="957" spans="1:1">
      <c r="A957" s="10" t="s">
        <v>705</v>
      </c>
    </row>
    <row r="958" spans="1:1">
      <c r="A958" s="10" t="s">
        <v>62</v>
      </c>
    </row>
    <row r="959" spans="1:1">
      <c r="A959" s="10" t="s">
        <v>65</v>
      </c>
    </row>
    <row r="962" spans="1:1">
      <c r="A962" s="1" t="s">
        <v>706</v>
      </c>
    </row>
    <row r="963" spans="1:1">
      <c r="A963" s="10" t="s">
        <v>485</v>
      </c>
    </row>
    <row r="964" spans="1:1">
      <c r="A964" s="10" t="s">
        <v>707</v>
      </c>
    </row>
    <row r="967" spans="1:1" ht="17.25">
      <c r="A967" s="8" t="s">
        <v>708</v>
      </c>
    </row>
    <row r="968" spans="1:1">
      <c r="A968" s="1" t="s">
        <v>709</v>
      </c>
    </row>
    <row r="969" spans="1:1">
      <c r="A969" s="10" t="s">
        <v>710</v>
      </c>
    </row>
    <row r="970" spans="1:1">
      <c r="A970" s="10" t="s">
        <v>676</v>
      </c>
    </row>
    <row r="971" spans="1:1">
      <c r="A971" s="13" t="s">
        <v>152</v>
      </c>
    </row>
    <row r="972" spans="1:1">
      <c r="A972" s="13" t="s">
        <v>154</v>
      </c>
    </row>
    <row r="973" spans="1:1">
      <c r="A973" s="13" t="s">
        <v>155</v>
      </c>
    </row>
    <row r="974" spans="1:1">
      <c r="A974" s="1" t="s">
        <v>201</v>
      </c>
    </row>
    <row r="975" spans="1:1">
      <c r="A975" s="10" t="s">
        <v>711</v>
      </c>
    </row>
    <row r="976" spans="1:1">
      <c r="A976" s="10" t="s">
        <v>712</v>
      </c>
    </row>
    <row r="977" spans="1:1">
      <c r="A977" s="10" t="s">
        <v>713</v>
      </c>
    </row>
    <row r="980" spans="1:1" ht="17.25">
      <c r="A980" s="8" t="s">
        <v>714</v>
      </c>
    </row>
    <row r="981" spans="1:1">
      <c r="A981" s="1" t="s">
        <v>715</v>
      </c>
    </row>
    <row r="982" spans="1:1">
      <c r="A982" s="10" t="s">
        <v>716</v>
      </c>
    </row>
    <row r="983" spans="1:1">
      <c r="A983" s="13" t="s">
        <v>707</v>
      </c>
    </row>
    <row r="984" spans="1:1">
      <c r="A984" s="13" t="s">
        <v>717</v>
      </c>
    </row>
    <row r="985" spans="1:1">
      <c r="A985" s="13" t="s">
        <v>718</v>
      </c>
    </row>
    <row r="986" spans="1:1">
      <c r="A986" s="10" t="s">
        <v>401</v>
      </c>
    </row>
    <row r="987" spans="1:1">
      <c r="A987" s="1" t="s">
        <v>719</v>
      </c>
    </row>
    <row r="988" spans="1:1">
      <c r="A988" s="10" t="s">
        <v>720</v>
      </c>
    </row>
    <row r="989" spans="1:1">
      <c r="A989" s="10" t="s">
        <v>721</v>
      </c>
    </row>
    <row r="990" spans="1:1">
      <c r="A990" s="10" t="s">
        <v>722</v>
      </c>
    </row>
    <row r="991" spans="1:1">
      <c r="A991" s="10" t="s">
        <v>723</v>
      </c>
    </row>
    <row r="992" spans="1:1">
      <c r="A992" s="10" t="s">
        <v>724</v>
      </c>
    </row>
    <row r="995" spans="1:1" ht="17.25">
      <c r="A995" s="8" t="s">
        <v>725</v>
      </c>
    </row>
    <row r="996" spans="1:1">
      <c r="A996" s="1" t="s">
        <v>726</v>
      </c>
    </row>
    <row r="997" spans="1:1">
      <c r="A997" s="10" t="s">
        <v>727</v>
      </c>
    </row>
    <row r="998" spans="1:1">
      <c r="A998" s="13" t="s">
        <v>728</v>
      </c>
    </row>
    <row r="999" spans="1:1">
      <c r="A999" s="13" t="s">
        <v>720</v>
      </c>
    </row>
    <row r="1000" spans="1:1">
      <c r="A1000" s="13" t="s">
        <v>721</v>
      </c>
    </row>
    <row r="1001" spans="1:1">
      <c r="A1001" s="13" t="s">
        <v>723</v>
      </c>
    </row>
    <row r="1002" spans="1:1">
      <c r="A1002" s="1" t="s">
        <v>729</v>
      </c>
    </row>
    <row r="1003" spans="1:1">
      <c r="A1003" s="10" t="s">
        <v>19</v>
      </c>
    </row>
    <row r="1004" spans="1:1">
      <c r="A1004" s="10" t="s">
        <v>20</v>
      </c>
    </row>
    <row r="1005" spans="1:1">
      <c r="A1005" s="10" t="s">
        <v>730</v>
      </c>
    </row>
    <row r="1006" spans="1:1">
      <c r="A1006" s="10" t="s">
        <v>731</v>
      </c>
    </row>
    <row r="1009" spans="1:1" ht="17.25">
      <c r="A1009" s="8" t="s">
        <v>732</v>
      </c>
    </row>
    <row r="1010" spans="1:1">
      <c r="A1010" s="10" t="s">
        <v>733</v>
      </c>
    </row>
    <row r="1011" spans="1:1">
      <c r="A1011" s="10" t="s">
        <v>734</v>
      </c>
    </row>
    <row r="1012" spans="1:1">
      <c r="A1012" s="10" t="s">
        <v>735</v>
      </c>
    </row>
    <row r="1015" spans="1:1" ht="17.25">
      <c r="A1015" s="8" t="s">
        <v>736</v>
      </c>
    </row>
    <row r="1016" spans="1:1">
      <c r="A1016" s="10" t="s">
        <v>737</v>
      </c>
    </row>
    <row r="1017" spans="1:1">
      <c r="A1017" s="10" t="s">
        <v>554</v>
      </c>
    </row>
    <row r="1018" spans="1:1">
      <c r="A1018" s="10" t="s">
        <v>553</v>
      </c>
    </row>
    <row r="1019" spans="1:1">
      <c r="A1019" s="10" t="s">
        <v>738</v>
      </c>
    </row>
    <row r="1020" spans="1:1">
      <c r="A1020" s="10" t="s">
        <v>556</v>
      </c>
    </row>
    <row r="1023" spans="1:1">
      <c r="A1023" s="1" t="s">
        <v>739</v>
      </c>
    </row>
    <row r="1024" spans="1:1" ht="17.25">
      <c r="A1024" s="8" t="s">
        <v>740</v>
      </c>
    </row>
    <row r="1025" spans="1:1">
      <c r="A1025" s="1" t="s">
        <v>741</v>
      </c>
    </row>
    <row r="1026" spans="1:1">
      <c r="A1026" s="10" t="s">
        <v>742</v>
      </c>
    </row>
    <row r="1027" spans="1:1">
      <c r="A1027" s="10" t="s">
        <v>154</v>
      </c>
    </row>
    <row r="1028" spans="1:1">
      <c r="A1028" s="10" t="s">
        <v>743</v>
      </c>
    </row>
    <row r="1031" spans="1:1">
      <c r="A1031" s="1" t="s">
        <v>744</v>
      </c>
    </row>
    <row r="1032" spans="1:1">
      <c r="A1032" s="10" t="s">
        <v>745</v>
      </c>
    </row>
    <row r="1033" spans="1:1">
      <c r="A1033" s="10" t="s">
        <v>746</v>
      </c>
    </row>
    <row r="1034" spans="1:1" ht="17.25">
      <c r="A1034" s="15" t="s">
        <v>747</v>
      </c>
    </row>
    <row r="1035" spans="1:1" ht="17.25">
      <c r="A1035" s="15" t="s">
        <v>748</v>
      </c>
    </row>
    <row r="1036" spans="1:1" ht="17.25">
      <c r="A1036" s="15" t="s">
        <v>749</v>
      </c>
    </row>
    <row r="1039" spans="1:1">
      <c r="A1039" s="1" t="s">
        <v>750</v>
      </c>
    </row>
    <row r="1040" spans="1:1">
      <c r="A1040" s="10" t="s">
        <v>751</v>
      </c>
    </row>
    <row r="1041" spans="1:1">
      <c r="A1041" s="10" t="s">
        <v>752</v>
      </c>
    </row>
    <row r="1044" spans="1:1">
      <c r="A1044" s="1" t="s">
        <v>753</v>
      </c>
    </row>
    <row r="1045" spans="1:1">
      <c r="A1045" s="10" t="s">
        <v>49</v>
      </c>
    </row>
    <row r="1046" spans="1:1">
      <c r="A1046" s="10" t="s">
        <v>60</v>
      </c>
    </row>
    <row r="1047" spans="1:1">
      <c r="A1047" s="10" t="s">
        <v>456</v>
      </c>
    </row>
    <row r="1048" spans="1:1">
      <c r="A1048" s="10" t="s">
        <v>457</v>
      </c>
    </row>
    <row r="1049" spans="1:1">
      <c r="A1049" s="10" t="s">
        <v>65</v>
      </c>
    </row>
    <row r="1052" spans="1:1">
      <c r="A1052" s="1" t="s">
        <v>754</v>
      </c>
    </row>
    <row r="1053" spans="1:1">
      <c r="A1053" s="1" t="s">
        <v>755</v>
      </c>
    </row>
    <row r="1054" spans="1:1">
      <c r="A1054" s="10" t="s">
        <v>756</v>
      </c>
    </row>
    <row r="1055" spans="1:1">
      <c r="A1055" s="1" t="s">
        <v>757</v>
      </c>
    </row>
    <row r="1056" spans="1:1">
      <c r="A1056" s="10" t="s">
        <v>758</v>
      </c>
    </row>
    <row r="1057" spans="1:1">
      <c r="A1057" s="1" t="s">
        <v>501</v>
      </c>
    </row>
    <row r="1058" spans="1:1">
      <c r="A1058" s="10" t="s">
        <v>759</v>
      </c>
    </row>
    <row r="1059" spans="1:1">
      <c r="A1059" s="1" t="s">
        <v>760</v>
      </c>
    </row>
    <row r="1060" spans="1:1">
      <c r="A1060" s="10" t="s">
        <v>589</v>
      </c>
    </row>
    <row r="1063" spans="1:1">
      <c r="A1063" s="1" t="s">
        <v>761</v>
      </c>
    </row>
    <row r="1064" spans="1:1">
      <c r="A1064" s="1" t="s">
        <v>762</v>
      </c>
    </row>
    <row r="1065" spans="1:1">
      <c r="A1065" s="10" t="s">
        <v>763</v>
      </c>
    </row>
    <row r="1066" spans="1:1">
      <c r="A1066" s="13" t="s">
        <v>90</v>
      </c>
    </row>
    <row r="1067" spans="1:1">
      <c r="A1067" s="13" t="s">
        <v>71</v>
      </c>
    </row>
    <row r="1068" spans="1:1">
      <c r="A1068" s="13" t="s">
        <v>91</v>
      </c>
    </row>
    <row r="1069" spans="1:1">
      <c r="A1069" s="13" t="s">
        <v>764</v>
      </c>
    </row>
    <row r="1072" spans="1:1">
      <c r="A1072" s="1" t="s">
        <v>765</v>
      </c>
    </row>
    <row r="1073" spans="1:1">
      <c r="A1073" s="10" t="s">
        <v>762</v>
      </c>
    </row>
    <row r="1074" spans="1:1">
      <c r="A1074" s="13" t="s">
        <v>766</v>
      </c>
    </row>
    <row r="1075" spans="1:1">
      <c r="A1075" s="13" t="s">
        <v>767</v>
      </c>
    </row>
    <row r="1076" spans="1:1">
      <c r="A1076" s="13" t="s">
        <v>768</v>
      </c>
    </row>
    <row r="1079" spans="1:1">
      <c r="A1079" s="1" t="s">
        <v>769</v>
      </c>
    </row>
    <row r="1080" spans="1:1">
      <c r="A1080" s="10" t="s">
        <v>770</v>
      </c>
    </row>
    <row r="1083" spans="1:1">
      <c r="A1083" s="1" t="s">
        <v>771</v>
      </c>
    </row>
    <row r="1084" spans="1:1">
      <c r="A1084" s="10" t="s">
        <v>772</v>
      </c>
    </row>
    <row r="1085" spans="1:1">
      <c r="A1085" s="10" t="s">
        <v>773</v>
      </c>
    </row>
    <row r="1088" spans="1:1">
      <c r="A1088" s="1" t="s">
        <v>774</v>
      </c>
    </row>
    <row r="1089" spans="1:1">
      <c r="A1089" s="10" t="s">
        <v>775</v>
      </c>
    </row>
    <row r="1090" spans="1:1">
      <c r="A1090" s="10" t="s">
        <v>776</v>
      </c>
    </row>
    <row r="1091" spans="1:1">
      <c r="A1091" s="10" t="s">
        <v>777</v>
      </c>
    </row>
    <row r="1092" spans="1:1">
      <c r="A1092" s="10" t="s">
        <v>778</v>
      </c>
    </row>
    <row r="1093" spans="1:1">
      <c r="A1093" s="10" t="s">
        <v>779</v>
      </c>
    </row>
    <row r="1096" spans="1:1">
      <c r="A1096" s="1" t="s">
        <v>780</v>
      </c>
    </row>
    <row r="1097" spans="1:1">
      <c r="A1097" s="10" t="s">
        <v>781</v>
      </c>
    </row>
    <row r="1098" spans="1:1">
      <c r="A1098" s="10" t="s">
        <v>782</v>
      </c>
    </row>
    <row r="1099" spans="1:1">
      <c r="A1099" s="10" t="s">
        <v>783</v>
      </c>
    </row>
    <row r="1100" spans="1:1">
      <c r="A1100" s="10" t="s">
        <v>784</v>
      </c>
    </row>
    <row r="1101" spans="1:1">
      <c r="A1101" s="10" t="s">
        <v>785</v>
      </c>
    </row>
    <row r="1102" spans="1:1">
      <c r="A1102" s="10" t="s">
        <v>786</v>
      </c>
    </row>
    <row r="1105" spans="1:1">
      <c r="A1105" s="1" t="s">
        <v>787</v>
      </c>
    </row>
    <row r="1106" spans="1:1">
      <c r="A1106" s="1" t="s">
        <v>788</v>
      </c>
    </row>
    <row r="1107" spans="1:1" ht="17.25">
      <c r="A1107" s="16" t="s">
        <v>789</v>
      </c>
    </row>
    <row r="1108" spans="1:1" ht="17.25">
      <c r="A1108" s="16" t="s">
        <v>790</v>
      </c>
    </row>
    <row r="1109" spans="1:1" ht="17.25">
      <c r="A1109" s="16" t="s">
        <v>791</v>
      </c>
    </row>
    <row r="1110" spans="1:1" ht="17.25">
      <c r="A1110" s="16" t="s">
        <v>792</v>
      </c>
    </row>
    <row r="1111" spans="1:1" ht="17.25">
      <c r="A1111" s="16" t="s">
        <v>793</v>
      </c>
    </row>
    <row r="1114" spans="1:1">
      <c r="A1114" s="1" t="s">
        <v>794</v>
      </c>
    </row>
    <row r="1115" spans="1:1">
      <c r="A1115" s="10" t="s">
        <v>795</v>
      </c>
    </row>
    <row r="1116" spans="1:1">
      <c r="A1116" s="10" t="s">
        <v>796</v>
      </c>
    </row>
    <row r="1119" spans="1:1" ht="90">
      <c r="A1119" s="14" t="s">
        <v>797</v>
      </c>
    </row>
    <row r="1120" spans="1:1">
      <c r="A1120" s="11"/>
    </row>
    <row r="1121" spans="1:1" ht="90">
      <c r="A1121" s="14" t="s">
        <v>798</v>
      </c>
    </row>
    <row r="1124" spans="1:1">
      <c r="A1124" s="1" t="s">
        <v>799</v>
      </c>
    </row>
    <row r="1125" spans="1:1">
      <c r="A1125" s="1" t="s">
        <v>800</v>
      </c>
    </row>
    <row r="1126" spans="1:1" ht="17.25">
      <c r="A1126" s="8" t="s">
        <v>801</v>
      </c>
    </row>
    <row r="1127" spans="1:1">
      <c r="A1127" s="1" t="s">
        <v>802</v>
      </c>
    </row>
    <row r="1128" spans="1:1">
      <c r="A1128" s="10" t="s">
        <v>803</v>
      </c>
    </row>
    <row r="1129" spans="1:1" ht="17.25">
      <c r="A1129" s="10" t="s">
        <v>804</v>
      </c>
    </row>
    <row r="1130" spans="1:1">
      <c r="A1130" s="10" t="s">
        <v>805</v>
      </c>
    </row>
    <row r="1131" spans="1:1">
      <c r="A1131" s="13" t="s">
        <v>463</v>
      </c>
    </row>
    <row r="1132" spans="1:1">
      <c r="A1132" s="13" t="s">
        <v>464</v>
      </c>
    </row>
    <row r="1133" spans="1:1">
      <c r="A1133" s="13" t="s">
        <v>471</v>
      </c>
    </row>
    <row r="1134" spans="1:1">
      <c r="A1134" s="13" t="s">
        <v>414</v>
      </c>
    </row>
    <row r="1135" spans="1:1">
      <c r="A1135" s="13" t="s">
        <v>467</v>
      </c>
    </row>
    <row r="1136" spans="1:1">
      <c r="A1136" s="13" t="s">
        <v>468</v>
      </c>
    </row>
    <row r="1137" spans="1:1">
      <c r="A1137" s="13" t="s">
        <v>425</v>
      </c>
    </row>
    <row r="1138" spans="1:1">
      <c r="A1138" s="13" t="s">
        <v>469</v>
      </c>
    </row>
    <row r="1139" spans="1:1">
      <c r="A1139" s="10" t="s">
        <v>806</v>
      </c>
    </row>
    <row r="1142" spans="1:1" ht="17.25">
      <c r="A1142" s="8" t="s">
        <v>807</v>
      </c>
    </row>
    <row r="1143" spans="1:1">
      <c r="A1143" s="1" t="s">
        <v>808</v>
      </c>
    </row>
    <row r="1144" spans="1:1">
      <c r="A1144" s="1" t="s">
        <v>809</v>
      </c>
    </row>
    <row r="1145" spans="1:1">
      <c r="A1145" s="1" t="s">
        <v>810</v>
      </c>
    </row>
    <row r="1146" spans="1:1">
      <c r="A1146" s="1" t="s">
        <v>811</v>
      </c>
    </row>
    <row r="1147" spans="1:1">
      <c r="A1147" s="1" t="s">
        <v>636</v>
      </c>
    </row>
    <row r="1148" spans="1:1">
      <c r="A1148" s="10" t="s">
        <v>637</v>
      </c>
    </row>
    <row r="1149" spans="1:1">
      <c r="A1149" s="10" t="s">
        <v>638</v>
      </c>
    </row>
    <row r="1150" spans="1:1">
      <c r="A1150" s="10" t="s">
        <v>812</v>
      </c>
    </row>
    <row r="1153" spans="1:3" ht="17.25">
      <c r="A1153" s="8" t="s">
        <v>813</v>
      </c>
    </row>
    <row r="1154" spans="1:3" ht="15.75" thickBot="1">
      <c r="A1154" s="1" t="s">
        <v>814</v>
      </c>
    </row>
    <row r="1155" spans="1:3" ht="15.75" thickBot="1">
      <c r="A1155" s="17" t="s">
        <v>156</v>
      </c>
      <c r="B1155" s="17" t="s">
        <v>157</v>
      </c>
      <c r="C1155" s="17" t="s">
        <v>158</v>
      </c>
    </row>
    <row r="1156" spans="1:3" ht="15.75" thickBot="1">
      <c r="A1156" s="17" t="s">
        <v>674</v>
      </c>
      <c r="B1156" s="17">
        <v>58</v>
      </c>
      <c r="C1156" s="17" t="s">
        <v>815</v>
      </c>
    </row>
    <row r="1157" spans="1:3" ht="15.75" thickBot="1">
      <c r="A1157" s="17" t="s">
        <v>695</v>
      </c>
      <c r="B1157" s="17">
        <v>62</v>
      </c>
      <c r="C1157" s="17" t="s">
        <v>816</v>
      </c>
    </row>
    <row r="1158" spans="1:3" ht="15.75" thickBot="1">
      <c r="A1158" s="17" t="s">
        <v>49</v>
      </c>
      <c r="B1158" s="18">
        <v>0.04</v>
      </c>
      <c r="C1158" s="17" t="s">
        <v>815</v>
      </c>
    </row>
    <row r="1159" spans="1:3" ht="15.75" thickBot="1">
      <c r="A1159" s="17" t="s">
        <v>375</v>
      </c>
      <c r="B1159" s="18">
        <v>0.02</v>
      </c>
      <c r="C1159" s="17" t="s">
        <v>817</v>
      </c>
    </row>
    <row r="1160" spans="1:3" ht="15.75" thickBot="1">
      <c r="A1160" s="20" t="s">
        <v>456</v>
      </c>
      <c r="B1160" s="21">
        <v>-0.01</v>
      </c>
      <c r="C1160" s="22" t="s">
        <v>816</v>
      </c>
    </row>
    <row r="1161" spans="1:3">
      <c r="A1161" s="1" t="s">
        <v>818</v>
      </c>
    </row>
    <row r="1162" spans="1:3">
      <c r="A1162" s="1" t="s">
        <v>819</v>
      </c>
    </row>
    <row r="1163" spans="1:3">
      <c r="A1163" s="10" t="s">
        <v>820</v>
      </c>
    </row>
    <row r="1164" spans="1:3">
      <c r="A1164" s="10" t="s">
        <v>821</v>
      </c>
    </row>
    <row r="1165" spans="1:3">
      <c r="A1165" s="10" t="s">
        <v>822</v>
      </c>
    </row>
    <row r="1166" spans="1:3">
      <c r="A1166" s="10" t="s">
        <v>823</v>
      </c>
    </row>
    <row r="1169" spans="1:1" ht="17.25">
      <c r="A1169" s="8" t="s">
        <v>824</v>
      </c>
    </row>
    <row r="1170" spans="1:1">
      <c r="A1170" s="1" t="s">
        <v>825</v>
      </c>
    </row>
    <row r="1171" spans="1:1">
      <c r="A1171" s="1" t="s">
        <v>826</v>
      </c>
    </row>
    <row r="1172" spans="1:1">
      <c r="A1172" s="10" t="s">
        <v>827</v>
      </c>
    </row>
    <row r="1173" spans="1:1">
      <c r="A1173" s="10" t="s">
        <v>828</v>
      </c>
    </row>
    <row r="1174" spans="1:1">
      <c r="A1174" s="1" t="s">
        <v>829</v>
      </c>
    </row>
    <row r="1175" spans="1:1">
      <c r="A1175" s="10" t="s">
        <v>49</v>
      </c>
    </row>
    <row r="1176" spans="1:1">
      <c r="A1176" s="10" t="s">
        <v>830</v>
      </c>
    </row>
    <row r="1179" spans="1:1" ht="17.25">
      <c r="A1179" s="8" t="s">
        <v>831</v>
      </c>
    </row>
    <row r="1180" spans="1:1">
      <c r="A1180" s="1" t="s">
        <v>832</v>
      </c>
    </row>
    <row r="1181" spans="1:1">
      <c r="A1181" s="10" t="s">
        <v>90</v>
      </c>
    </row>
    <row r="1182" spans="1:1">
      <c r="A1182" s="10" t="s">
        <v>71</v>
      </c>
    </row>
    <row r="1183" spans="1:1">
      <c r="A1183" s="10" t="s">
        <v>91</v>
      </c>
    </row>
    <row r="1184" spans="1:1">
      <c r="A1184" s="10" t="s">
        <v>67</v>
      </c>
    </row>
    <row r="1185" spans="1:1">
      <c r="A1185" s="10" t="s">
        <v>92</v>
      </c>
    </row>
    <row r="1186" spans="1:1">
      <c r="A1186" s="10" t="s">
        <v>93</v>
      </c>
    </row>
    <row r="1189" spans="1:1" ht="17.25">
      <c r="A1189" s="8" t="s">
        <v>833</v>
      </c>
    </row>
    <row r="1190" spans="1:1">
      <c r="A1190" s="1" t="s">
        <v>762</v>
      </c>
    </row>
    <row r="1191" spans="1:1">
      <c r="A1191" s="10" t="s">
        <v>766</v>
      </c>
    </row>
    <row r="1192" spans="1:1">
      <c r="A1192" s="10" t="s">
        <v>767</v>
      </c>
    </row>
    <row r="1193" spans="1:1">
      <c r="A1193" s="10" t="s">
        <v>768</v>
      </c>
    </row>
    <row r="1196" spans="1:1" ht="17.25">
      <c r="A1196" s="8" t="s">
        <v>834</v>
      </c>
    </row>
    <row r="1197" spans="1:1">
      <c r="A1197" s="1" t="s">
        <v>835</v>
      </c>
    </row>
    <row r="1198" spans="1:1">
      <c r="A1198" s="10" t="s">
        <v>836</v>
      </c>
    </row>
    <row r="1199" spans="1:1">
      <c r="A1199" s="10" t="s">
        <v>720</v>
      </c>
    </row>
    <row r="1200" spans="1:1">
      <c r="A1200" s="10" t="s">
        <v>723</v>
      </c>
    </row>
    <row r="1201" spans="1:1">
      <c r="A1201" s="10" t="s">
        <v>837</v>
      </c>
    </row>
    <row r="1204" spans="1:1" ht="17.25">
      <c r="A1204" s="8" t="s">
        <v>838</v>
      </c>
    </row>
    <row r="1205" spans="1:1">
      <c r="A1205" s="1" t="s">
        <v>839</v>
      </c>
    </row>
    <row r="1206" spans="1:1">
      <c r="A1206" s="10" t="s">
        <v>840</v>
      </c>
    </row>
    <row r="1207" spans="1:1">
      <c r="A1207" s="10" t="s">
        <v>52</v>
      </c>
    </row>
    <row r="1208" spans="1:1">
      <c r="A1208" s="10" t="s">
        <v>841</v>
      </c>
    </row>
    <row r="1211" spans="1:1" ht="17.25">
      <c r="A1211" s="8" t="s">
        <v>842</v>
      </c>
    </row>
    <row r="1212" spans="1:1">
      <c r="A1212" s="10" t="s">
        <v>843</v>
      </c>
    </row>
    <row r="1213" spans="1:1">
      <c r="A1213" s="10" t="s">
        <v>554</v>
      </c>
    </row>
    <row r="1214" spans="1:1">
      <c r="A1214" s="10" t="s">
        <v>553</v>
      </c>
    </row>
    <row r="1215" spans="1:1">
      <c r="A1215" s="10" t="s">
        <v>844</v>
      </c>
    </row>
    <row r="1216" spans="1:1">
      <c r="A1216" s="10" t="s">
        <v>425</v>
      </c>
    </row>
    <row r="1217" spans="1:1">
      <c r="A1217" s="10" t="s">
        <v>845</v>
      </c>
    </row>
    <row r="1220" spans="1:1">
      <c r="A1220" s="1" t="s">
        <v>846</v>
      </c>
    </row>
    <row r="1221" spans="1:1">
      <c r="A1221" s="1" t="s">
        <v>726</v>
      </c>
    </row>
    <row r="1222" spans="1:1">
      <c r="A1222" s="1" t="s">
        <v>847</v>
      </c>
    </row>
    <row r="1223" spans="1:1">
      <c r="A1223" s="1" t="s">
        <v>848</v>
      </c>
    </row>
    <row r="1224" spans="1:1">
      <c r="A1224" s="1" t="s">
        <v>849</v>
      </c>
    </row>
    <row r="1225" spans="1:1">
      <c r="A1225" s="10" t="s">
        <v>152</v>
      </c>
    </row>
    <row r="1226" spans="1:1">
      <c r="A1226" s="10" t="s">
        <v>153</v>
      </c>
    </row>
    <row r="1227" spans="1:1">
      <c r="A1227" s="10" t="s">
        <v>154</v>
      </c>
    </row>
    <row r="1228" spans="1:1">
      <c r="A1228" s="10" t="s">
        <v>850</v>
      </c>
    </row>
    <row r="1229" spans="1:1">
      <c r="A1229" s="1" t="s">
        <v>350</v>
      </c>
    </row>
    <row r="1230" spans="1:1">
      <c r="A1230" s="1" t="s">
        <v>851</v>
      </c>
    </row>
    <row r="1231" spans="1:1">
      <c r="A1231" s="10" t="s">
        <v>160</v>
      </c>
    </row>
    <row r="1232" spans="1:1">
      <c r="A1232" s="10" t="s">
        <v>52</v>
      </c>
    </row>
    <row r="1233" spans="1:1">
      <c r="A1233" s="10" t="s">
        <v>456</v>
      </c>
    </row>
    <row r="1234" spans="1:1">
      <c r="A1234" s="10" t="s">
        <v>457</v>
      </c>
    </row>
    <row r="1235" spans="1:1">
      <c r="A1235" s="10" t="s">
        <v>458</v>
      </c>
    </row>
    <row r="1236" spans="1:1">
      <c r="A1236" s="10" t="s">
        <v>459</v>
      </c>
    </row>
    <row r="1237" spans="1:1">
      <c r="A1237" s="10" t="s">
        <v>66</v>
      </c>
    </row>
    <row r="1238" spans="1:1">
      <c r="A1238" s="1" t="s">
        <v>483</v>
      </c>
    </row>
    <row r="1239" spans="1:1">
      <c r="A1239" s="10" t="s">
        <v>113</v>
      </c>
    </row>
    <row r="1240" spans="1:1">
      <c r="A1240" s="10" t="s">
        <v>852</v>
      </c>
    </row>
    <row r="1241" spans="1:1">
      <c r="A1241" s="10" t="s">
        <v>853</v>
      </c>
    </row>
    <row r="1242" spans="1:1">
      <c r="A1242" s="10" t="s">
        <v>854</v>
      </c>
    </row>
    <row r="1243" spans="1:1">
      <c r="A1243" s="10" t="s">
        <v>703</v>
      </c>
    </row>
    <row r="1244" spans="1:1">
      <c r="A1244" s="10" t="s">
        <v>704</v>
      </c>
    </row>
    <row r="1245" spans="1:1">
      <c r="A1245" s="1" t="s">
        <v>855</v>
      </c>
    </row>
    <row r="1246" spans="1:1">
      <c r="A1246" s="1" t="s">
        <v>856</v>
      </c>
    </row>
    <row r="1247" spans="1:1">
      <c r="A1247" s="10" t="s">
        <v>773</v>
      </c>
    </row>
    <row r="1248" spans="1:1">
      <c r="A1248" s="10" t="s">
        <v>857</v>
      </c>
    </row>
    <row r="1251" spans="1:1">
      <c r="A1251" s="1" t="s">
        <v>858</v>
      </c>
    </row>
    <row r="1252" spans="1:1">
      <c r="A1252" s="1" t="s">
        <v>859</v>
      </c>
    </row>
    <row r="1253" spans="1:1">
      <c r="A1253" s="10" t="s">
        <v>162</v>
      </c>
    </row>
    <row r="1254" spans="1:1">
      <c r="A1254" s="10" t="s">
        <v>62</v>
      </c>
    </row>
    <row r="1255" spans="1:1">
      <c r="A1255" s="10" t="s">
        <v>457</v>
      </c>
    </row>
    <row r="1256" spans="1:1">
      <c r="A1256" s="10" t="s">
        <v>65</v>
      </c>
    </row>
    <row r="1257" spans="1:1">
      <c r="A1257" s="10" t="s">
        <v>66</v>
      </c>
    </row>
    <row r="1258" spans="1:1">
      <c r="A1258" s="10" t="s">
        <v>592</v>
      </c>
    </row>
    <row r="1259" spans="1:1">
      <c r="A1259" s="10" t="s">
        <v>92</v>
      </c>
    </row>
    <row r="1260" spans="1:1">
      <c r="A1260" s="10" t="s">
        <v>93</v>
      </c>
    </row>
    <row r="1263" spans="1:1">
      <c r="A1263" s="1" t="s">
        <v>860</v>
      </c>
    </row>
    <row r="1264" spans="1:1">
      <c r="A1264" s="1" t="s">
        <v>861</v>
      </c>
    </row>
    <row r="1265" spans="1:1">
      <c r="A1265" s="1" t="s">
        <v>862</v>
      </c>
    </row>
    <row r="1266" spans="1:1">
      <c r="A1266" s="1" t="s">
        <v>863</v>
      </c>
    </row>
    <row r="1267" spans="1:1">
      <c r="A1267" s="1" t="s">
        <v>862</v>
      </c>
    </row>
    <row r="1268" spans="1:1">
      <c r="A1268" s="1" t="s">
        <v>864</v>
      </c>
    </row>
    <row r="1269" spans="1:1">
      <c r="A1269" s="1" t="s">
        <v>862</v>
      </c>
    </row>
    <row r="1270" spans="1:1">
      <c r="A1270" s="1" t="s">
        <v>865</v>
      </c>
    </row>
    <row r="1271" spans="1:1">
      <c r="A1271" s="1" t="s">
        <v>862</v>
      </c>
    </row>
    <row r="1272" spans="1:1">
      <c r="A1272" s="1" t="s">
        <v>866</v>
      </c>
    </row>
    <row r="1273" spans="1:1">
      <c r="A1273" s="1" t="s">
        <v>862</v>
      </c>
    </row>
    <row r="1274" spans="1:1">
      <c r="A1274" s="1" t="s">
        <v>867</v>
      </c>
    </row>
    <row r="1275" spans="1:1">
      <c r="A1275" s="1" t="s">
        <v>862</v>
      </c>
    </row>
    <row r="1276" spans="1:1">
      <c r="A1276" s="1" t="s">
        <v>868</v>
      </c>
    </row>
    <row r="1277" spans="1:1">
      <c r="A1277" s="1" t="s">
        <v>862</v>
      </c>
    </row>
    <row r="1278" spans="1:1">
      <c r="A1278" s="1" t="s">
        <v>869</v>
      </c>
    </row>
    <row r="1279" spans="1:1">
      <c r="A1279" s="1" t="s">
        <v>862</v>
      </c>
    </row>
    <row r="1280" spans="1:1">
      <c r="A1280" s="1" t="s">
        <v>870</v>
      </c>
    </row>
    <row r="1281" spans="1:2">
      <c r="A1281" s="1" t="s">
        <v>862</v>
      </c>
    </row>
    <row r="1284" spans="1:2">
      <c r="A1284" s="1" t="s">
        <v>871</v>
      </c>
    </row>
    <row r="1285" spans="1:2" ht="15.75" thickBot="1">
      <c r="A1285" s="1" t="s">
        <v>872</v>
      </c>
    </row>
    <row r="1286" spans="1:2" ht="15.75" thickBot="1">
      <c r="A1286" s="17" t="s">
        <v>873</v>
      </c>
      <c r="B1286" s="17" t="s">
        <v>874</v>
      </c>
    </row>
    <row r="1287" spans="1:2" ht="15.75" thickBot="1">
      <c r="A1287" s="17" t="s">
        <v>875</v>
      </c>
      <c r="B1287" s="17" t="s">
        <v>876</v>
      </c>
    </row>
    <row r="1288" spans="1:2" ht="15.75" thickBot="1">
      <c r="A1288" s="17" t="s">
        <v>877</v>
      </c>
      <c r="B1288" s="17" t="s">
        <v>85</v>
      </c>
    </row>
    <row r="1289" spans="1:2" ht="15.75" thickBot="1">
      <c r="A1289" s="17" t="s">
        <v>878</v>
      </c>
      <c r="B1289" s="17" t="s">
        <v>82</v>
      </c>
    </row>
    <row r="1290" spans="1:2" ht="15.75" thickBot="1">
      <c r="A1290" s="17" t="s">
        <v>879</v>
      </c>
      <c r="B1290" s="17" t="s">
        <v>880</v>
      </c>
    </row>
    <row r="1291" spans="1:2" ht="15.75" thickBot="1">
      <c r="A1291" s="17" t="s">
        <v>881</v>
      </c>
      <c r="B1291" s="17" t="s">
        <v>882</v>
      </c>
    </row>
    <row r="1292" spans="1:2" ht="15.75" thickBot="1">
      <c r="A1292" s="20" t="s">
        <v>883</v>
      </c>
      <c r="B1292" s="22" t="s">
        <v>884</v>
      </c>
    </row>
    <row r="1293" spans="1:2">
      <c r="A1293" s="1" t="s">
        <v>885</v>
      </c>
    </row>
    <row r="1294" spans="1:2">
      <c r="A1294" s="10" t="s">
        <v>877</v>
      </c>
    </row>
    <row r="1295" spans="1:2">
      <c r="A1295" s="10" t="s">
        <v>886</v>
      </c>
    </row>
    <row r="1296" spans="1:2">
      <c r="A1296" s="10" t="s">
        <v>875</v>
      </c>
    </row>
    <row r="1299" spans="1:1">
      <c r="A1299" s="1" t="s">
        <v>887</v>
      </c>
    </row>
    <row r="1300" spans="1:1">
      <c r="A1300" s="1" t="s">
        <v>888</v>
      </c>
    </row>
    <row r="1301" spans="1:1">
      <c r="A1301" s="10" t="s">
        <v>889</v>
      </c>
    </row>
    <row r="1302" spans="1:1">
      <c r="A1302" s="10" t="s">
        <v>890</v>
      </c>
    </row>
    <row r="1303" spans="1:1">
      <c r="A1303" s="10" t="s">
        <v>781</v>
      </c>
    </row>
    <row r="1304" spans="1:1">
      <c r="A1304" s="10" t="s">
        <v>891</v>
      </c>
    </row>
    <row r="1305" spans="1:1">
      <c r="A1305" s="10" t="s">
        <v>892</v>
      </c>
    </row>
    <row r="1306" spans="1:1">
      <c r="A1306" s="10" t="s">
        <v>893</v>
      </c>
    </row>
    <row r="1307" spans="1:1">
      <c r="A1307" s="10" t="s">
        <v>894</v>
      </c>
    </row>
    <row r="1308" spans="1:1">
      <c r="A1308" s="10" t="s">
        <v>895</v>
      </c>
    </row>
    <row r="1309" spans="1:1">
      <c r="A1309" s="10" t="s">
        <v>896</v>
      </c>
    </row>
    <row r="1312" spans="1:1">
      <c r="A1312" s="1" t="s">
        <v>897</v>
      </c>
    </row>
    <row r="1313" spans="1:1">
      <c r="A1313" s="1" t="s">
        <v>898</v>
      </c>
    </row>
    <row r="1314" spans="1:1">
      <c r="A1314" s="1" t="s">
        <v>480</v>
      </c>
    </row>
    <row r="1315" spans="1:1">
      <c r="A1315" s="1" t="s">
        <v>899</v>
      </c>
    </row>
    <row r="1316" spans="1:1">
      <c r="A1316" s="1" t="s">
        <v>900</v>
      </c>
    </row>
    <row r="1317" spans="1:1">
      <c r="A1317" s="1" t="s">
        <v>901</v>
      </c>
    </row>
    <row r="1318" spans="1:1">
      <c r="A1318" s="1" t="s">
        <v>902</v>
      </c>
    </row>
    <row r="1319" spans="1:1">
      <c r="A1319" s="1" t="s">
        <v>903</v>
      </c>
    </row>
    <row r="1320" spans="1:1">
      <c r="A1320" s="1" t="s">
        <v>904</v>
      </c>
    </row>
    <row r="1321" spans="1:1">
      <c r="A1321" s="3"/>
    </row>
    <row r="1322" spans="1:1">
      <c r="A1322" s="1" t="s">
        <v>498</v>
      </c>
    </row>
    <row r="1323" spans="1:1">
      <c r="A1323" s="1" t="s">
        <v>905</v>
      </c>
    </row>
    <row r="1324" spans="1:1">
      <c r="A1324" s="1" t="s">
        <v>906</v>
      </c>
    </row>
    <row r="1325" spans="1:1">
      <c r="A1325" s="1" t="s">
        <v>907</v>
      </c>
    </row>
    <row r="1326" spans="1:1">
      <c r="A1326" s="1" t="s">
        <v>908</v>
      </c>
    </row>
    <row r="1327" spans="1:1">
      <c r="A1327" s="1" t="s">
        <v>909</v>
      </c>
    </row>
    <row r="1328" spans="1:1">
      <c r="A1328" s="1" t="s">
        <v>910</v>
      </c>
    </row>
    <row r="1329" spans="1:1">
      <c r="A1329" s="1" t="s">
        <v>911</v>
      </c>
    </row>
    <row r="1330" spans="1:1">
      <c r="A1330" s="1" t="s">
        <v>899</v>
      </c>
    </row>
    <row r="1331" spans="1:1">
      <c r="A1331" s="1" t="s">
        <v>912</v>
      </c>
    </row>
    <row r="1332" spans="1:1">
      <c r="A1332" s="1" t="s">
        <v>913</v>
      </c>
    </row>
    <row r="1333" spans="1:1">
      <c r="A1333" s="1" t="s">
        <v>914</v>
      </c>
    </row>
    <row r="1334" spans="1:1">
      <c r="A1334" s="1" t="s">
        <v>915</v>
      </c>
    </row>
    <row r="1335" spans="1:1">
      <c r="A1335" s="1" t="s">
        <v>916</v>
      </c>
    </row>
    <row r="1336" spans="1:1">
      <c r="A1336" s="1" t="s">
        <v>917</v>
      </c>
    </row>
    <row r="1337" spans="1:1">
      <c r="A1337" s="1" t="s">
        <v>918</v>
      </c>
    </row>
    <row r="1338" spans="1:1">
      <c r="A1338" s="3"/>
    </row>
    <row r="1339" spans="1:1">
      <c r="A1339" s="1" t="s">
        <v>919</v>
      </c>
    </row>
    <row r="1340" spans="1:1">
      <c r="A1340" s="1" t="s">
        <v>182</v>
      </c>
    </row>
    <row r="1341" spans="1:1">
      <c r="A1341" s="1" t="s">
        <v>535</v>
      </c>
    </row>
    <row r="1342" spans="1:1">
      <c r="A1342" s="1" t="s">
        <v>543</v>
      </c>
    </row>
    <row r="1343" spans="1:1">
      <c r="A1343" s="1" t="s">
        <v>550</v>
      </c>
    </row>
    <row r="1346" spans="1:1">
      <c r="A1346" s="1" t="s">
        <v>920</v>
      </c>
    </row>
    <row r="1347" spans="1:1">
      <c r="A1347" s="1" t="s">
        <v>921</v>
      </c>
    </row>
    <row r="1348" spans="1:1">
      <c r="A1348" s="10" t="s">
        <v>922</v>
      </c>
    </row>
    <row r="1349" spans="1:1">
      <c r="A1349" s="10" t="s">
        <v>415</v>
      </c>
    </row>
    <row r="1350" spans="1:1">
      <c r="A1350" s="10" t="s">
        <v>923</v>
      </c>
    </row>
    <row r="1351" spans="1:1">
      <c r="A1351" s="10" t="s">
        <v>924</v>
      </c>
    </row>
    <row r="1352" spans="1:1">
      <c r="A1352" s="10" t="s">
        <v>925</v>
      </c>
    </row>
    <row r="1353" spans="1:1">
      <c r="A1353" s="10" t="s">
        <v>473</v>
      </c>
    </row>
    <row r="1354" spans="1:1">
      <c r="A1354" s="10" t="s">
        <v>926</v>
      </c>
    </row>
    <row r="1357" spans="1:1">
      <c r="A1357" s="1" t="s">
        <v>927</v>
      </c>
    </row>
    <row r="1358" spans="1:1">
      <c r="A1358" s="1" t="s">
        <v>928</v>
      </c>
    </row>
    <row r="1359" spans="1:1">
      <c r="A1359" s="10" t="s">
        <v>463</v>
      </c>
    </row>
    <row r="1360" spans="1:1">
      <c r="A1360" s="10" t="s">
        <v>464</v>
      </c>
    </row>
    <row r="1361" spans="1:1">
      <c r="A1361" s="10" t="s">
        <v>471</v>
      </c>
    </row>
    <row r="1362" spans="1:1">
      <c r="A1362" s="13" t="s">
        <v>19</v>
      </c>
    </row>
    <row r="1363" spans="1:1">
      <c r="A1363" s="13" t="s">
        <v>20</v>
      </c>
    </row>
    <row r="1364" spans="1:1">
      <c r="A1364" s="10" t="s">
        <v>414</v>
      </c>
    </row>
    <row r="1365" spans="1:1">
      <c r="A1365" s="10" t="s">
        <v>472</v>
      </c>
    </row>
    <row r="1366" spans="1:1">
      <c r="A1366" s="10" t="s">
        <v>467</v>
      </c>
    </row>
    <row r="1367" spans="1:1">
      <c r="A1367" s="10" t="s">
        <v>468</v>
      </c>
    </row>
    <row r="1368" spans="1:1">
      <c r="A1368" s="10" t="s">
        <v>425</v>
      </c>
    </row>
    <row r="1369" spans="1:1">
      <c r="A1369" s="10" t="s">
        <v>469</v>
      </c>
    </row>
    <row r="1370" spans="1:1">
      <c r="A1370" s="10" t="s">
        <v>473</v>
      </c>
    </row>
    <row r="1373" spans="1:1">
      <c r="A1373" s="1" t="s">
        <v>191</v>
      </c>
    </row>
    <row r="1374" spans="1:1">
      <c r="A1374" s="10" t="s">
        <v>929</v>
      </c>
    </row>
    <row r="1375" spans="1:1">
      <c r="A1375" s="10" t="s">
        <v>930</v>
      </c>
    </row>
    <row r="1376" spans="1:1">
      <c r="A1376" s="10" t="s">
        <v>931</v>
      </c>
    </row>
    <row r="1379" spans="1:1">
      <c r="A1379" s="1" t="s">
        <v>932</v>
      </c>
    </row>
    <row r="1382" spans="1:1">
      <c r="A1382" s="1" t="s">
        <v>933</v>
      </c>
    </row>
    <row r="1383" spans="1:1" ht="17.25">
      <c r="A1383" s="8" t="s">
        <v>934</v>
      </c>
    </row>
    <row r="1384" spans="1:1">
      <c r="A1384" s="23"/>
    </row>
    <row r="1387" spans="1:1">
      <c r="A1387" s="1" t="s">
        <v>935</v>
      </c>
    </row>
    <row r="1388" spans="1:1">
      <c r="A1388" s="1" t="s">
        <v>936</v>
      </c>
    </row>
    <row r="1389" spans="1:1" ht="17.25">
      <c r="A1389" s="16" t="s">
        <v>937</v>
      </c>
    </row>
    <row r="1390" spans="1:1">
      <c r="A1390" s="10" t="s">
        <v>938</v>
      </c>
    </row>
    <row r="1391" spans="1:1">
      <c r="A1391" s="10" t="s">
        <v>939</v>
      </c>
    </row>
    <row r="1392" spans="1:1">
      <c r="A1392" s="10" t="s">
        <v>940</v>
      </c>
    </row>
    <row r="1393" spans="1:1">
      <c r="A1393" s="10" t="s">
        <v>941</v>
      </c>
    </row>
    <row r="1394" spans="1:1">
      <c r="A1394" s="10" t="s">
        <v>942</v>
      </c>
    </row>
    <row r="1395" spans="1:1">
      <c r="A1395" s="10" t="s">
        <v>943</v>
      </c>
    </row>
    <row r="1396" spans="1:1">
      <c r="A1396" s="10" t="s">
        <v>765</v>
      </c>
    </row>
    <row r="1397" spans="1:1">
      <c r="A1397" s="10" t="s">
        <v>944</v>
      </c>
    </row>
    <row r="1398" spans="1:1" ht="17.25">
      <c r="A1398" s="16" t="s">
        <v>945</v>
      </c>
    </row>
    <row r="1399" spans="1:1">
      <c r="A1399" s="10" t="s">
        <v>946</v>
      </c>
    </row>
    <row r="1400" spans="1:1">
      <c r="A1400" s="13" t="s">
        <v>157</v>
      </c>
    </row>
    <row r="1401" spans="1:1">
      <c r="A1401" s="13" t="s">
        <v>158</v>
      </c>
    </row>
    <row r="1402" spans="1:1">
      <c r="A1402" s="13" t="s">
        <v>947</v>
      </c>
    </row>
    <row r="1403" spans="1:1">
      <c r="A1403" s="10" t="s">
        <v>948</v>
      </c>
    </row>
    <row r="1404" spans="1:1">
      <c r="A1404" s="13" t="s">
        <v>19</v>
      </c>
    </row>
    <row r="1405" spans="1:1">
      <c r="A1405" s="13" t="s">
        <v>20</v>
      </c>
    </row>
    <row r="1406" spans="1:1">
      <c r="A1406" s="13" t="s">
        <v>949</v>
      </c>
    </row>
    <row r="1409" spans="1:1">
      <c r="A1409" s="1" t="s">
        <v>950</v>
      </c>
    </row>
    <row r="1410" spans="1:1">
      <c r="A1410" s="1" t="s">
        <v>951</v>
      </c>
    </row>
    <row r="1411" spans="1:1">
      <c r="A1411" s="10" t="s">
        <v>952</v>
      </c>
    </row>
    <row r="1412" spans="1:1">
      <c r="A1412" s="10" t="s">
        <v>953</v>
      </c>
    </row>
    <row r="1413" spans="1:1">
      <c r="A1413" s="10" t="s">
        <v>954</v>
      </c>
    </row>
    <row r="1414" spans="1:1">
      <c r="A1414" s="10" t="s">
        <v>955</v>
      </c>
    </row>
    <row r="1417" spans="1:1">
      <c r="A1417" s="1" t="s">
        <v>956</v>
      </c>
    </row>
    <row r="1418" spans="1:1">
      <c r="A1418" s="1" t="s">
        <v>957</v>
      </c>
    </row>
    <row r="1419" spans="1:1">
      <c r="A1419" s="10" t="s">
        <v>958</v>
      </c>
    </row>
    <row r="1420" spans="1:1">
      <c r="A1420" s="10" t="s">
        <v>959</v>
      </c>
    </row>
    <row r="1421" spans="1:1">
      <c r="A1421" s="10" t="s">
        <v>960</v>
      </c>
    </row>
    <row r="1422" spans="1:1" ht="17.25">
      <c r="A1422" s="1" t="s">
        <v>961</v>
      </c>
    </row>
    <row r="1425" spans="1:1">
      <c r="A1425" s="1" t="s">
        <v>962</v>
      </c>
    </row>
    <row r="1428" spans="1:1">
      <c r="A1428" s="1" t="s">
        <v>963</v>
      </c>
    </row>
    <row r="1429" spans="1:1">
      <c r="A1429" s="1" t="s">
        <v>964</v>
      </c>
    </row>
    <row r="1430" spans="1:1">
      <c r="A1430" s="1" t="s">
        <v>965</v>
      </c>
    </row>
    <row r="1431" spans="1:1">
      <c r="A1431" s="23"/>
    </row>
    <row r="1432" spans="1:1">
      <c r="A1432" s="23"/>
    </row>
    <row r="1435" spans="1:1">
      <c r="A1435" s="1" t="s">
        <v>3</v>
      </c>
    </row>
    <row r="1436" spans="1:1">
      <c r="A1436" s="1" t="s">
        <v>966</v>
      </c>
    </row>
    <row r="1437" spans="1:1">
      <c r="A1437" s="1" t="s">
        <v>5</v>
      </c>
    </row>
    <row r="1438" spans="1:1">
      <c r="A1438" s="10" t="s">
        <v>6</v>
      </c>
    </row>
    <row r="1439" spans="1:1">
      <c r="A1439" s="10" t="s">
        <v>7</v>
      </c>
    </row>
    <row r="1440" spans="1:1">
      <c r="A1440" s="10" t="s">
        <v>8</v>
      </c>
    </row>
    <row r="1441" spans="1:2">
      <c r="A1441" s="10" t="s">
        <v>9</v>
      </c>
    </row>
    <row r="1442" spans="1:2">
      <c r="A1442" s="10" t="s">
        <v>10</v>
      </c>
    </row>
    <row r="1443" spans="1:2">
      <c r="A1443" s="10" t="s">
        <v>11</v>
      </c>
    </row>
    <row r="1444" spans="1:2">
      <c r="A1444" s="10" t="s">
        <v>12</v>
      </c>
    </row>
    <row r="1445" spans="1:2">
      <c r="A1445" s="10" t="s">
        <v>13</v>
      </c>
    </row>
    <row r="1446" spans="1:2">
      <c r="A1446" s="10" t="s">
        <v>14</v>
      </c>
    </row>
    <row r="1449" spans="1:2">
      <c r="A1449" s="1" t="s">
        <v>15</v>
      </c>
    </row>
    <row r="1450" spans="1:2" ht="15.75" thickBot="1">
      <c r="A1450" s="1" t="s">
        <v>16</v>
      </c>
    </row>
    <row r="1451" spans="1:2" ht="15.75" thickBot="1">
      <c r="A1451" s="17" t="s">
        <v>17</v>
      </c>
      <c r="B1451" s="17" t="s">
        <v>18</v>
      </c>
    </row>
    <row r="1452" spans="1:2" ht="15.75" thickBot="1">
      <c r="A1452" s="17">
        <v>1</v>
      </c>
      <c r="B1452" s="17" t="s">
        <v>19</v>
      </c>
    </row>
    <row r="1453" spans="1:2" ht="15.75" thickBot="1">
      <c r="A1453" s="20">
        <v>2</v>
      </c>
      <c r="B1453" s="22" t="s">
        <v>20</v>
      </c>
    </row>
    <row r="1456" spans="1:2">
      <c r="A1456" s="1" t="s">
        <v>21</v>
      </c>
    </row>
    <row r="1457" spans="1:5" ht="15.75" thickBot="1">
      <c r="A1457" s="1" t="s">
        <v>22</v>
      </c>
    </row>
    <row r="1458" spans="1:5" ht="15.75" thickBot="1">
      <c r="A1458" s="17" t="s">
        <v>23</v>
      </c>
      <c r="B1458" s="17" t="s">
        <v>24</v>
      </c>
    </row>
    <row r="1459" spans="1:5" ht="15.75" thickBot="1">
      <c r="A1459" s="17">
        <v>1</v>
      </c>
      <c r="B1459" s="17" t="s">
        <v>25</v>
      </c>
    </row>
    <row r="1460" spans="1:5" ht="15.75" thickBot="1">
      <c r="A1460" s="17">
        <v>2</v>
      </c>
      <c r="B1460" s="17" t="s">
        <v>26</v>
      </c>
    </row>
    <row r="1461" spans="1:5" ht="15.75" thickBot="1">
      <c r="A1461" s="17">
        <v>3</v>
      </c>
      <c r="B1461" s="17" t="s">
        <v>27</v>
      </c>
    </row>
    <row r="1462" spans="1:5" ht="15.75" thickBot="1">
      <c r="A1462" s="17">
        <v>4</v>
      </c>
      <c r="B1462" s="17" t="s">
        <v>28</v>
      </c>
    </row>
    <row r="1463" spans="1:5" ht="15.75" thickBot="1">
      <c r="A1463" s="17">
        <v>5</v>
      </c>
      <c r="B1463" s="17" t="s">
        <v>29</v>
      </c>
    </row>
    <row r="1464" spans="1:5" ht="15.75" thickBot="1">
      <c r="A1464" s="17">
        <v>6</v>
      </c>
      <c r="B1464" s="17" t="s">
        <v>30</v>
      </c>
    </row>
    <row r="1465" spans="1:5" ht="15.75" thickBot="1">
      <c r="A1465" s="17">
        <v>7</v>
      </c>
      <c r="B1465" s="17" t="s">
        <v>31</v>
      </c>
    </row>
    <row r="1466" spans="1:5" ht="15.75" thickBot="1">
      <c r="A1466" s="20">
        <v>8</v>
      </c>
      <c r="B1466" s="22" t="s">
        <v>32</v>
      </c>
    </row>
    <row r="1469" spans="1:5">
      <c r="A1469" s="1" t="s">
        <v>33</v>
      </c>
    </row>
    <row r="1470" spans="1:5" ht="15.75" thickBot="1">
      <c r="A1470" s="1" t="s">
        <v>34</v>
      </c>
    </row>
    <row r="1471" spans="1:5" ht="15.75" thickBot="1">
      <c r="A1471" s="17" t="s">
        <v>35</v>
      </c>
      <c r="B1471" s="17" t="s">
        <v>36</v>
      </c>
      <c r="C1471" s="17" t="s">
        <v>37</v>
      </c>
      <c r="D1471" s="17" t="s">
        <v>38</v>
      </c>
      <c r="E1471" s="17" t="s">
        <v>39</v>
      </c>
    </row>
    <row r="1472" spans="1:5" ht="15.75" thickBot="1">
      <c r="A1472" s="17">
        <v>1</v>
      </c>
      <c r="B1472" s="17">
        <v>2025</v>
      </c>
      <c r="C1472" s="17" t="s">
        <v>40</v>
      </c>
      <c r="D1472" s="24">
        <v>45658</v>
      </c>
      <c r="E1472" s="24">
        <v>45747</v>
      </c>
    </row>
    <row r="1473" spans="1:5" ht="15.75" thickBot="1">
      <c r="A1473" s="20">
        <v>2</v>
      </c>
      <c r="B1473" s="25">
        <v>2025</v>
      </c>
      <c r="C1473" s="25" t="s">
        <v>41</v>
      </c>
      <c r="D1473" s="26">
        <v>45748</v>
      </c>
      <c r="E1473" s="27">
        <v>45838</v>
      </c>
    </row>
    <row r="1476" spans="1:5">
      <c r="A1476" s="1" t="s">
        <v>42</v>
      </c>
    </row>
    <row r="1477" spans="1:5" ht="15.75" thickBot="1">
      <c r="A1477" s="1" t="s">
        <v>43</v>
      </c>
    </row>
    <row r="1478" spans="1:5" ht="15.75" thickBot="1">
      <c r="A1478" s="17" t="s">
        <v>44</v>
      </c>
      <c r="B1478" s="17" t="s">
        <v>45</v>
      </c>
      <c r="C1478" s="17" t="s">
        <v>46</v>
      </c>
      <c r="D1478" s="17" t="s">
        <v>47</v>
      </c>
      <c r="E1478" s="17" t="s">
        <v>48</v>
      </c>
    </row>
    <row r="1479" spans="1:5" ht="15.75" thickBot="1">
      <c r="A1479" s="17">
        <v>1</v>
      </c>
      <c r="B1479" s="17" t="s">
        <v>49</v>
      </c>
      <c r="C1479" s="17" t="s">
        <v>19</v>
      </c>
      <c r="D1479" s="17" t="s">
        <v>50</v>
      </c>
      <c r="E1479" s="17" t="s">
        <v>51</v>
      </c>
    </row>
    <row r="1480" spans="1:5" ht="15.75" thickBot="1">
      <c r="A1480" s="17">
        <v>2</v>
      </c>
      <c r="B1480" s="17" t="s">
        <v>52</v>
      </c>
      <c r="C1480" s="17" t="s">
        <v>19</v>
      </c>
      <c r="D1480" s="17" t="s">
        <v>53</v>
      </c>
      <c r="E1480" s="17" t="s">
        <v>54</v>
      </c>
    </row>
    <row r="1481" spans="1:5" ht="15.75" thickBot="1">
      <c r="A1481" s="17">
        <v>3</v>
      </c>
      <c r="B1481" s="17" t="s">
        <v>55</v>
      </c>
      <c r="C1481" s="17" t="s">
        <v>19</v>
      </c>
      <c r="D1481" s="17" t="s">
        <v>56</v>
      </c>
      <c r="E1481" s="17" t="s">
        <v>57</v>
      </c>
    </row>
    <row r="1482" spans="1:5" ht="15.75" thickBot="1">
      <c r="A1482" s="17">
        <v>4</v>
      </c>
      <c r="B1482" s="17" t="s">
        <v>58</v>
      </c>
      <c r="C1482" s="17" t="s">
        <v>19</v>
      </c>
      <c r="D1482" s="17" t="s">
        <v>53</v>
      </c>
      <c r="E1482" s="17" t="s">
        <v>59</v>
      </c>
    </row>
    <row r="1483" spans="1:5" ht="15.75" thickBot="1">
      <c r="A1483" s="17">
        <v>5</v>
      </c>
      <c r="B1483" s="17" t="s">
        <v>60</v>
      </c>
      <c r="C1483" s="17" t="s">
        <v>20</v>
      </c>
      <c r="D1483" s="17" t="s">
        <v>53</v>
      </c>
      <c r="E1483" s="17" t="s">
        <v>61</v>
      </c>
    </row>
    <row r="1484" spans="1:5" ht="15.75" thickBot="1">
      <c r="A1484" s="17">
        <v>6</v>
      </c>
      <c r="B1484" s="17" t="s">
        <v>62</v>
      </c>
      <c r="C1484" s="17" t="s">
        <v>20</v>
      </c>
      <c r="D1484" s="17" t="s">
        <v>53</v>
      </c>
      <c r="E1484" s="17" t="s">
        <v>63</v>
      </c>
    </row>
    <row r="1485" spans="1:5" ht="15.75" thickBot="1">
      <c r="A1485" s="17">
        <v>7</v>
      </c>
      <c r="B1485" s="17" t="s">
        <v>64</v>
      </c>
      <c r="C1485" s="17" t="s">
        <v>20</v>
      </c>
      <c r="D1485" s="17" t="s">
        <v>50</v>
      </c>
      <c r="E1485" s="17" t="s">
        <v>65</v>
      </c>
    </row>
    <row r="1486" spans="1:5" ht="15.75" thickBot="1">
      <c r="A1486" s="17">
        <v>8</v>
      </c>
      <c r="B1486" s="17" t="s">
        <v>66</v>
      </c>
      <c r="C1486" s="17" t="s">
        <v>20</v>
      </c>
      <c r="D1486" s="17" t="s">
        <v>50</v>
      </c>
      <c r="E1486" s="17" t="s">
        <v>66</v>
      </c>
    </row>
    <row r="1487" spans="1:5" ht="15.75" thickBot="1">
      <c r="A1487" s="17">
        <v>9</v>
      </c>
      <c r="B1487" s="17" t="s">
        <v>67</v>
      </c>
      <c r="C1487" s="17" t="s">
        <v>68</v>
      </c>
      <c r="D1487" s="17" t="s">
        <v>69</v>
      </c>
      <c r="E1487" s="17" t="s">
        <v>70</v>
      </c>
    </row>
    <row r="1488" spans="1:5" ht="15.75" thickBot="1">
      <c r="A1488" s="20">
        <v>10</v>
      </c>
      <c r="B1488" s="25" t="s">
        <v>71</v>
      </c>
      <c r="C1488" s="25" t="s">
        <v>68</v>
      </c>
      <c r="D1488" s="25" t="s">
        <v>69</v>
      </c>
      <c r="E1488" s="22" t="s">
        <v>72</v>
      </c>
    </row>
    <row r="1491" spans="1:7">
      <c r="A1491" s="1" t="s">
        <v>73</v>
      </c>
    </row>
    <row r="1492" spans="1:7">
      <c r="A1492" s="1" t="s">
        <v>74</v>
      </c>
    </row>
    <row r="1493" spans="1:7" ht="15.75" thickBot="1">
      <c r="A1493" s="1" t="s">
        <v>75</v>
      </c>
    </row>
    <row r="1494" spans="1:7" ht="15.75" thickBot="1">
      <c r="A1494" s="17" t="s">
        <v>76</v>
      </c>
      <c r="B1494" s="17" t="s">
        <v>44</v>
      </c>
      <c r="C1494" s="17" t="s">
        <v>23</v>
      </c>
      <c r="D1494" s="17" t="s">
        <v>35</v>
      </c>
      <c r="E1494" s="17" t="s">
        <v>77</v>
      </c>
      <c r="F1494" s="17" t="s">
        <v>78</v>
      </c>
      <c r="G1494" s="17" t="s">
        <v>79</v>
      </c>
    </row>
    <row r="1495" spans="1:7" ht="30.75" thickBot="1">
      <c r="A1495" s="17">
        <v>1</v>
      </c>
      <c r="B1495" s="17">
        <v>1</v>
      </c>
      <c r="C1495" s="17">
        <v>1</v>
      </c>
      <c r="D1495" s="17">
        <v>1</v>
      </c>
      <c r="E1495" s="17">
        <v>58</v>
      </c>
      <c r="F1495" s="17" t="s">
        <v>80</v>
      </c>
      <c r="G1495" s="17" t="s">
        <v>81</v>
      </c>
    </row>
    <row r="1496" spans="1:7" ht="15.75" thickBot="1">
      <c r="A1496" s="20">
        <v>2</v>
      </c>
      <c r="B1496" s="25">
        <v>5</v>
      </c>
      <c r="C1496" s="25">
        <v>1</v>
      </c>
      <c r="D1496" s="25">
        <v>1</v>
      </c>
      <c r="E1496" s="25">
        <v>120</v>
      </c>
      <c r="F1496" s="25" t="s">
        <v>82</v>
      </c>
      <c r="G1496" s="22" t="s">
        <v>83</v>
      </c>
    </row>
    <row r="1497" spans="1:7">
      <c r="A1497" s="1" t="s">
        <v>84</v>
      </c>
    </row>
    <row r="1498" spans="1:7">
      <c r="A1498" s="10" t="s">
        <v>80</v>
      </c>
    </row>
    <row r="1499" spans="1:7">
      <c r="A1499" s="10" t="s">
        <v>85</v>
      </c>
    </row>
    <row r="1500" spans="1:7">
      <c r="A1500" s="10" t="s">
        <v>82</v>
      </c>
    </row>
    <row r="1503" spans="1:7">
      <c r="A1503" s="1" t="s">
        <v>86</v>
      </c>
    </row>
    <row r="1504" spans="1:7" ht="15.75" thickBot="1">
      <c r="A1504" s="1" t="s">
        <v>87</v>
      </c>
    </row>
    <row r="1505" spans="1:6" ht="15.75" thickBot="1">
      <c r="A1505" s="17" t="s">
        <v>88</v>
      </c>
      <c r="B1505" s="17" t="s">
        <v>89</v>
      </c>
    </row>
    <row r="1506" spans="1:6" ht="15.75" thickBot="1">
      <c r="A1506" s="17">
        <v>1</v>
      </c>
      <c r="B1506" s="17" t="s">
        <v>90</v>
      </c>
    </row>
    <row r="1507" spans="1:6" ht="15.75" thickBot="1">
      <c r="A1507" s="17">
        <v>2</v>
      </c>
      <c r="B1507" s="17" t="s">
        <v>71</v>
      </c>
    </row>
    <row r="1508" spans="1:6" ht="15.75" thickBot="1">
      <c r="A1508" s="17">
        <v>3</v>
      </c>
      <c r="B1508" s="17" t="s">
        <v>91</v>
      </c>
    </row>
    <row r="1509" spans="1:6" ht="15.75" thickBot="1">
      <c r="A1509" s="17">
        <v>4</v>
      </c>
      <c r="B1509" s="17" t="s">
        <v>67</v>
      </c>
    </row>
    <row r="1510" spans="1:6" ht="15.75" thickBot="1">
      <c r="A1510" s="17">
        <v>5</v>
      </c>
      <c r="B1510" s="17" t="s">
        <v>92</v>
      </c>
    </row>
    <row r="1511" spans="1:6" ht="15.75" thickBot="1">
      <c r="A1511" s="17">
        <v>6</v>
      </c>
      <c r="B1511" s="17" t="s">
        <v>93</v>
      </c>
    </row>
    <row r="1512" spans="1:6" ht="15.75" thickBot="1">
      <c r="A1512" s="17">
        <v>7</v>
      </c>
      <c r="B1512" s="17" t="s">
        <v>94</v>
      </c>
    </row>
    <row r="1513" spans="1:6" ht="15.75" thickBot="1">
      <c r="A1513" s="20">
        <v>8</v>
      </c>
      <c r="B1513" s="22" t="s">
        <v>95</v>
      </c>
    </row>
    <row r="1514" spans="1:6" ht="15.75" thickBot="1">
      <c r="A1514" s="1" t="s">
        <v>96</v>
      </c>
    </row>
    <row r="1515" spans="1:6" ht="15.75" thickBot="1">
      <c r="A1515" s="17" t="s">
        <v>76</v>
      </c>
      <c r="B1515" s="17" t="s">
        <v>88</v>
      </c>
      <c r="C1515" s="17" t="s">
        <v>17</v>
      </c>
      <c r="D1515" s="17" t="s">
        <v>23</v>
      </c>
      <c r="E1515" s="17" t="s">
        <v>35</v>
      </c>
      <c r="F1515" s="17" t="s">
        <v>97</v>
      </c>
    </row>
    <row r="1516" spans="1:6" ht="15.75" thickBot="1">
      <c r="A1516" s="20">
        <v>1</v>
      </c>
      <c r="B1516" s="25">
        <v>1</v>
      </c>
      <c r="C1516" s="25" t="s">
        <v>19</v>
      </c>
      <c r="D1516" s="25" t="s">
        <v>25</v>
      </c>
      <c r="E1516" s="25" t="s">
        <v>98</v>
      </c>
      <c r="F1516" s="22">
        <v>4</v>
      </c>
    </row>
    <row r="1517" spans="1:6">
      <c r="A1517" s="1" t="s">
        <v>99</v>
      </c>
    </row>
    <row r="1518" spans="1:6">
      <c r="A1518" s="10" t="s">
        <v>100</v>
      </c>
    </row>
    <row r="1519" spans="1:6">
      <c r="A1519" s="10" t="s">
        <v>101</v>
      </c>
    </row>
    <row r="1520" spans="1:6">
      <c r="A1520" s="10" t="s">
        <v>102</v>
      </c>
    </row>
    <row r="1521" spans="1:7">
      <c r="A1521" s="10" t="s">
        <v>103</v>
      </c>
    </row>
    <row r="1524" spans="1:7">
      <c r="A1524" s="1" t="s">
        <v>104</v>
      </c>
    </row>
    <row r="1525" spans="1:7" ht="15.75" thickBot="1">
      <c r="A1525" s="1" t="s">
        <v>105</v>
      </c>
    </row>
    <row r="1526" spans="1:7" ht="15.75" thickBot="1">
      <c r="A1526" s="17" t="s">
        <v>76</v>
      </c>
      <c r="B1526" s="17" t="s">
        <v>46</v>
      </c>
      <c r="C1526" s="17" t="s">
        <v>24</v>
      </c>
      <c r="D1526" s="17" t="s">
        <v>106</v>
      </c>
      <c r="E1526" s="17" t="s">
        <v>107</v>
      </c>
      <c r="F1526" s="17" t="s">
        <v>108</v>
      </c>
      <c r="G1526" s="17" t="s">
        <v>109</v>
      </c>
    </row>
    <row r="1527" spans="1:7" ht="15.75" thickBot="1">
      <c r="A1527" s="20">
        <v>1</v>
      </c>
      <c r="B1527" s="25" t="s">
        <v>19</v>
      </c>
      <c r="C1527" s="25" t="s">
        <v>25</v>
      </c>
      <c r="D1527" s="25" t="s">
        <v>98</v>
      </c>
      <c r="E1527" s="25">
        <v>40</v>
      </c>
      <c r="F1527" s="25">
        <v>35</v>
      </c>
      <c r="G1527" s="22">
        <v>25</v>
      </c>
    </row>
    <row r="1528" spans="1:7">
      <c r="A1528" s="1" t="s">
        <v>110</v>
      </c>
    </row>
    <row r="1531" spans="1:7">
      <c r="A1531" s="1" t="s">
        <v>111</v>
      </c>
    </row>
    <row r="1532" spans="1:7" ht="17.25">
      <c r="A1532" s="8" t="s">
        <v>112</v>
      </c>
    </row>
    <row r="1533" spans="1:7">
      <c r="A1533" s="10" t="s">
        <v>113</v>
      </c>
    </row>
    <row r="1534" spans="1:7">
      <c r="A1534" s="10" t="s">
        <v>114</v>
      </c>
    </row>
    <row r="1535" spans="1:7">
      <c r="A1535" s="10" t="s">
        <v>115</v>
      </c>
    </row>
    <row r="1536" spans="1:7">
      <c r="A1536" s="10" t="s">
        <v>116</v>
      </c>
    </row>
    <row r="1537" spans="1:1">
      <c r="A1537" s="10" t="s">
        <v>117</v>
      </c>
    </row>
    <row r="1538" spans="1:1">
      <c r="A1538" s="10" t="s">
        <v>118</v>
      </c>
    </row>
    <row r="1539" spans="1:1">
      <c r="A1539" s="10" t="s">
        <v>119</v>
      </c>
    </row>
    <row r="1540" spans="1:1">
      <c r="A1540" s="10" t="s">
        <v>120</v>
      </c>
    </row>
    <row r="1541" spans="1:1">
      <c r="A1541" s="10" t="s">
        <v>121</v>
      </c>
    </row>
    <row r="1542" spans="1:1">
      <c r="A1542" s="10" t="s">
        <v>122</v>
      </c>
    </row>
    <row r="1543" spans="1:1">
      <c r="A1543" s="10" t="s">
        <v>123</v>
      </c>
    </row>
    <row r="1544" spans="1:1">
      <c r="A1544" s="10" t="s">
        <v>124</v>
      </c>
    </row>
    <row r="1545" spans="1:1">
      <c r="A1545" s="10" t="s">
        <v>125</v>
      </c>
    </row>
    <row r="1546" spans="1:1">
      <c r="A1546" s="10" t="s">
        <v>126</v>
      </c>
    </row>
    <row r="1547" spans="1:1">
      <c r="A1547" s="10" t="s">
        <v>127</v>
      </c>
    </row>
    <row r="1548" spans="1:1">
      <c r="A1548" s="10" t="s">
        <v>128</v>
      </c>
    </row>
    <row r="1549" spans="1:1">
      <c r="A1549" s="10" t="s">
        <v>129</v>
      </c>
    </row>
    <row r="1550" spans="1:1">
      <c r="A1550" s="10" t="s">
        <v>130</v>
      </c>
    </row>
    <row r="1553" spans="1:1" ht="17.25">
      <c r="A1553" s="8" t="s">
        <v>131</v>
      </c>
    </row>
    <row r="1554" spans="1:1">
      <c r="A1554" s="10" t="s">
        <v>132</v>
      </c>
    </row>
    <row r="1555" spans="1:1">
      <c r="A1555" s="10" t="s">
        <v>133</v>
      </c>
    </row>
    <row r="1556" spans="1:1">
      <c r="A1556" s="10" t="s">
        <v>134</v>
      </c>
    </row>
    <row r="1557" spans="1:1">
      <c r="A1557" s="10" t="s">
        <v>135</v>
      </c>
    </row>
    <row r="1558" spans="1:1">
      <c r="A1558" s="10" t="s">
        <v>136</v>
      </c>
    </row>
    <row r="1559" spans="1:1">
      <c r="A1559" s="10" t="s">
        <v>137</v>
      </c>
    </row>
    <row r="1560" spans="1:1">
      <c r="A1560" s="10" t="s">
        <v>138</v>
      </c>
    </row>
    <row r="1561" spans="1:1">
      <c r="A1561" s="10" t="s">
        <v>139</v>
      </c>
    </row>
    <row r="1562" spans="1:1">
      <c r="A1562" s="10" t="s">
        <v>140</v>
      </c>
    </row>
    <row r="1563" spans="1:1">
      <c r="A1563" s="10" t="s">
        <v>141</v>
      </c>
    </row>
    <row r="1564" spans="1:1">
      <c r="A1564" s="10" t="s">
        <v>142</v>
      </c>
    </row>
    <row r="1565" spans="1:1">
      <c r="A1565" s="10" t="s">
        <v>143</v>
      </c>
    </row>
    <row r="1566" spans="1:1">
      <c r="A1566" s="10" t="s">
        <v>144</v>
      </c>
    </row>
    <row r="1567" spans="1:1">
      <c r="A1567" s="10" t="s">
        <v>126</v>
      </c>
    </row>
    <row r="1568" spans="1:1">
      <c r="A1568" s="10" t="s">
        <v>145</v>
      </c>
    </row>
    <row r="1569" spans="1:8">
      <c r="A1569" s="10" t="s">
        <v>146</v>
      </c>
    </row>
    <row r="1570" spans="1:8">
      <c r="A1570" s="10" t="s">
        <v>147</v>
      </c>
    </row>
    <row r="1571" spans="1:8">
      <c r="A1571" s="10" t="s">
        <v>148</v>
      </c>
    </row>
    <row r="1574" spans="1:8">
      <c r="A1574" s="1" t="s">
        <v>149</v>
      </c>
    </row>
    <row r="1575" spans="1:8">
      <c r="A1575" s="1" t="s">
        <v>150</v>
      </c>
    </row>
    <row r="1576" spans="1:8" ht="15.75" thickBot="1">
      <c r="A1576" s="1" t="s">
        <v>151</v>
      </c>
    </row>
    <row r="1577" spans="1:8" ht="15.75" thickBot="1">
      <c r="A1577" s="17" t="s">
        <v>152</v>
      </c>
      <c r="B1577" s="17" t="s">
        <v>153</v>
      </c>
      <c r="C1577" s="17" t="s">
        <v>154</v>
      </c>
      <c r="D1577" s="17" t="s">
        <v>155</v>
      </c>
      <c r="E1577" s="17" t="s">
        <v>156</v>
      </c>
      <c r="F1577" s="17" t="s">
        <v>157</v>
      </c>
      <c r="G1577" s="17" t="s">
        <v>158</v>
      </c>
      <c r="H1577" s="17" t="s">
        <v>159</v>
      </c>
    </row>
    <row r="1578" spans="1:8" ht="15.75" thickBot="1">
      <c r="A1578" s="17">
        <v>2025</v>
      </c>
      <c r="B1578" s="17" t="s">
        <v>40</v>
      </c>
      <c r="C1578" s="17" t="s">
        <v>25</v>
      </c>
      <c r="D1578" s="17" t="s">
        <v>19</v>
      </c>
      <c r="E1578" s="17" t="s">
        <v>160</v>
      </c>
      <c r="F1578" s="17">
        <v>58</v>
      </c>
      <c r="G1578" s="17" t="s">
        <v>80</v>
      </c>
      <c r="H1578" s="17" t="s">
        <v>161</v>
      </c>
    </row>
    <row r="1579" spans="1:8" ht="15.75" thickBot="1">
      <c r="A1579" s="20">
        <v>2025</v>
      </c>
      <c r="B1579" s="25" t="s">
        <v>40</v>
      </c>
      <c r="C1579" s="25" t="s">
        <v>25</v>
      </c>
      <c r="D1579" s="25" t="s">
        <v>20</v>
      </c>
      <c r="E1579" s="25" t="s">
        <v>162</v>
      </c>
      <c r="F1579" s="25">
        <v>120</v>
      </c>
      <c r="G1579" s="25" t="s">
        <v>82</v>
      </c>
      <c r="H1579" s="22" t="s">
        <v>163</v>
      </c>
    </row>
    <row r="1580" spans="1:8">
      <c r="A1580" s="1" t="s">
        <v>164</v>
      </c>
    </row>
    <row r="1583" spans="1:8">
      <c r="A1583" s="1" t="s">
        <v>165</v>
      </c>
    </row>
    <row r="1584" spans="1:8">
      <c r="A1584" s="1" t="s">
        <v>166</v>
      </c>
    </row>
    <row r="1585" spans="1:4" ht="15.75" thickBot="1">
      <c r="A1585" s="1" t="s">
        <v>967</v>
      </c>
    </row>
    <row r="1586" spans="1:4" ht="15.75" thickBot="1">
      <c r="A1586" s="17" t="s">
        <v>968</v>
      </c>
      <c r="B1586" s="17" t="s">
        <v>19</v>
      </c>
      <c r="C1586" s="17" t="s">
        <v>20</v>
      </c>
      <c r="D1586" s="17" t="s">
        <v>169</v>
      </c>
    </row>
    <row r="1587" spans="1:4" ht="15.75" thickBot="1">
      <c r="A1587" s="20" t="s">
        <v>98</v>
      </c>
      <c r="B1587" s="25">
        <v>55</v>
      </c>
      <c r="C1587" s="25">
        <v>60</v>
      </c>
      <c r="D1587" s="22">
        <v>58</v>
      </c>
    </row>
    <row r="1588" spans="1:4">
      <c r="A1588" s="1" t="s">
        <v>170</v>
      </c>
    </row>
    <row r="1589" spans="1:4">
      <c r="A1589" s="1" t="s">
        <v>171</v>
      </c>
    </row>
    <row r="1592" spans="1:4">
      <c r="A1592" s="1" t="s">
        <v>172</v>
      </c>
    </row>
    <row r="1593" spans="1:4">
      <c r="A1593" s="1" t="s">
        <v>173</v>
      </c>
    </row>
    <row r="1594" spans="1:4">
      <c r="A1594" s="1" t="s">
        <v>174</v>
      </c>
    </row>
    <row r="1595" spans="1:4">
      <c r="A1595" s="1" t="s">
        <v>175</v>
      </c>
    </row>
    <row r="1596" spans="1:4">
      <c r="A1596" s="1" t="s">
        <v>176</v>
      </c>
    </row>
    <row r="1597" spans="1:4">
      <c r="A1597" s="1" t="s">
        <v>177</v>
      </c>
    </row>
    <row r="1598" spans="1:4">
      <c r="A1598" s="1" t="s">
        <v>178</v>
      </c>
    </row>
    <row r="1599" spans="1:4">
      <c r="A1599" s="1" t="s">
        <v>179</v>
      </c>
    </row>
    <row r="1600" spans="1:4">
      <c r="A1600" s="1" t="s">
        <v>180</v>
      </c>
    </row>
    <row r="1601" spans="1:1">
      <c r="A1601" s="1" t="s">
        <v>181</v>
      </c>
    </row>
    <row r="1602" spans="1:1">
      <c r="A1602" s="1" t="s">
        <v>182</v>
      </c>
    </row>
    <row r="1605" spans="1:1">
      <c r="A1605" s="1" t="s">
        <v>183</v>
      </c>
    </row>
    <row r="1606" spans="1:1">
      <c r="A1606" s="1" t="s">
        <v>184</v>
      </c>
    </row>
    <row r="1607" spans="1:1">
      <c r="A1607" s="10" t="s">
        <v>185</v>
      </c>
    </row>
    <row r="1608" spans="1:1">
      <c r="A1608" s="10" t="s">
        <v>186</v>
      </c>
    </row>
    <row r="1609" spans="1:1">
      <c r="A1609" s="10" t="s">
        <v>187</v>
      </c>
    </row>
    <row r="1610" spans="1:1">
      <c r="A1610" s="10" t="s">
        <v>188</v>
      </c>
    </row>
    <row r="1611" spans="1:1">
      <c r="A1611" s="10" t="s">
        <v>189</v>
      </c>
    </row>
    <row r="1612" spans="1:1">
      <c r="A1612" s="10" t="s">
        <v>190</v>
      </c>
    </row>
    <row r="1615" spans="1:1">
      <c r="A1615" s="1" t="s">
        <v>191</v>
      </c>
    </row>
    <row r="1616" spans="1:1">
      <c r="A1616" s="10" t="s">
        <v>192</v>
      </c>
    </row>
    <row r="1617" spans="1:1">
      <c r="A1617" s="10" t="s">
        <v>193</v>
      </c>
    </row>
    <row r="1618" spans="1:1">
      <c r="A1618" s="10" t="s">
        <v>194</v>
      </c>
    </row>
    <row r="1621" spans="1:1">
      <c r="A1621" s="1"/>
    </row>
    <row r="1622" spans="1:1">
      <c r="A1622" s="1"/>
    </row>
    <row r="1623" spans="1:1">
      <c r="A1623" s="1"/>
    </row>
    <row r="1624" spans="1:1">
      <c r="A1624" s="1"/>
    </row>
    <row r="1625" spans="1:1">
      <c r="A1625" s="1"/>
    </row>
    <row r="1626" spans="1:1">
      <c r="A1626" s="1"/>
    </row>
    <row r="1627" spans="1:1">
      <c r="A1627" s="1"/>
    </row>
    <row r="1628" spans="1:1">
      <c r="A1628" s="1"/>
    </row>
    <row r="1629" spans="1:1">
      <c r="A1629" s="1"/>
    </row>
    <row r="1630" spans="1:1">
      <c r="A1630" s="1"/>
    </row>
    <row r="1631" spans="1:1">
      <c r="A1631" s="1"/>
    </row>
    <row r="1632" spans="1:1">
      <c r="A1632" s="1"/>
    </row>
    <row r="1633" spans="1:1">
      <c r="A1633" s="1"/>
    </row>
    <row r="1634" spans="1:1" ht="90">
      <c r="A1634" s="14" t="s">
        <v>969</v>
      </c>
    </row>
    <row r="1637" spans="1:1">
      <c r="A1637" s="1" t="s">
        <v>970</v>
      </c>
    </row>
    <row r="1638" spans="1:1">
      <c r="A1638" s="1" t="s">
        <v>196</v>
      </c>
    </row>
    <row r="1639" spans="1:1">
      <c r="A1639" s="1" t="s">
        <v>971</v>
      </c>
    </row>
    <row r="1640" spans="1:1">
      <c r="A1640" s="10" t="s">
        <v>972</v>
      </c>
    </row>
    <row r="1641" spans="1:1">
      <c r="A1641" s="10" t="s">
        <v>973</v>
      </c>
    </row>
    <row r="1642" spans="1:1">
      <c r="A1642" s="13" t="s">
        <v>25</v>
      </c>
    </row>
    <row r="1643" spans="1:1">
      <c r="A1643" s="13" t="s">
        <v>26</v>
      </c>
    </row>
    <row r="1644" spans="1:1">
      <c r="A1644" s="13" t="s">
        <v>27</v>
      </c>
    </row>
    <row r="1645" spans="1:1">
      <c r="A1645" s="13" t="s">
        <v>28</v>
      </c>
    </row>
    <row r="1646" spans="1:1">
      <c r="A1646" s="13" t="s">
        <v>29</v>
      </c>
    </row>
    <row r="1647" spans="1:1">
      <c r="A1647" s="13" t="s">
        <v>30</v>
      </c>
    </row>
    <row r="1648" spans="1:1">
      <c r="A1648" s="13" t="s">
        <v>31</v>
      </c>
    </row>
    <row r="1649" spans="1:1">
      <c r="A1649" s="13" t="s">
        <v>32</v>
      </c>
    </row>
    <row r="1650" spans="1:1">
      <c r="A1650" s="10" t="s">
        <v>974</v>
      </c>
    </row>
    <row r="1651" spans="1:1">
      <c r="A1651" s="13" t="s">
        <v>19</v>
      </c>
    </row>
    <row r="1652" spans="1:1">
      <c r="A1652" s="13" t="s">
        <v>20</v>
      </c>
    </row>
    <row r="1653" spans="1:1">
      <c r="A1653" s="10" t="s">
        <v>975</v>
      </c>
    </row>
    <row r="1654" spans="1:1">
      <c r="A1654" s="13" t="s">
        <v>976</v>
      </c>
    </row>
    <row r="1655" spans="1:1">
      <c r="A1655" s="13" t="s">
        <v>977</v>
      </c>
    </row>
    <row r="1656" spans="1:1">
      <c r="A1656" s="13" t="s">
        <v>978</v>
      </c>
    </row>
    <row r="1657" spans="1:1">
      <c r="A1657" s="13" t="s">
        <v>979</v>
      </c>
    </row>
    <row r="1658" spans="1:1">
      <c r="A1658" s="13" t="s">
        <v>379</v>
      </c>
    </row>
    <row r="1659" spans="1:1">
      <c r="A1659" s="13" t="s">
        <v>380</v>
      </c>
    </row>
    <row r="1660" spans="1:1">
      <c r="A1660" s="13" t="s">
        <v>980</v>
      </c>
    </row>
    <row r="1661" spans="1:1">
      <c r="A1661" s="1"/>
    </row>
    <row r="1662" spans="1:1">
      <c r="A1662" s="10" t="s">
        <v>981</v>
      </c>
    </row>
    <row r="1663" spans="1:1">
      <c r="A1663" s="13" t="s">
        <v>982</v>
      </c>
    </row>
    <row r="1664" spans="1:1">
      <c r="A1664" s="13" t="s">
        <v>983</v>
      </c>
    </row>
    <row r="1665" spans="1:4">
      <c r="A1665" s="13" t="s">
        <v>984</v>
      </c>
    </row>
    <row r="1666" spans="1:4">
      <c r="A1666" s="13" t="s">
        <v>985</v>
      </c>
    </row>
    <row r="1667" spans="1:4">
      <c r="A1667" s="10" t="s">
        <v>986</v>
      </c>
    </row>
    <row r="1668" spans="1:4">
      <c r="A1668" s="13" t="s">
        <v>987</v>
      </c>
    </row>
    <row r="1669" spans="1:4">
      <c r="A1669" s="13" t="s">
        <v>988</v>
      </c>
    </row>
    <row r="1670" spans="1:4">
      <c r="A1670" s="13" t="s">
        <v>989</v>
      </c>
    </row>
    <row r="1671" spans="1:4">
      <c r="A1671" s="13" t="s">
        <v>990</v>
      </c>
    </row>
    <row r="1674" spans="1:4">
      <c r="A1674" s="1" t="s">
        <v>991</v>
      </c>
    </row>
    <row r="1675" spans="1:4">
      <c r="A1675" s="1" t="s">
        <v>992</v>
      </c>
    </row>
    <row r="1676" spans="1:4">
      <c r="A1676" s="1" t="s">
        <v>993</v>
      </c>
    </row>
    <row r="1677" spans="1:4">
      <c r="A1677" s="10" t="s">
        <v>994</v>
      </c>
    </row>
    <row r="1678" spans="1:4">
      <c r="A1678" s="10" t="s">
        <v>82</v>
      </c>
    </row>
    <row r="1679" spans="1:4" ht="15.75" thickBot="1">
      <c r="A1679" s="10" t="s">
        <v>995</v>
      </c>
    </row>
    <row r="1680" spans="1:4" ht="15.75" thickBot="1">
      <c r="A1680" s="17" t="s">
        <v>156</v>
      </c>
      <c r="B1680" s="17" t="s">
        <v>80</v>
      </c>
      <c r="C1680" s="17" t="s">
        <v>82</v>
      </c>
      <c r="D1680" s="17" t="s">
        <v>85</v>
      </c>
    </row>
    <row r="1681" spans="1:4" ht="18" thickBot="1">
      <c r="A1681" s="17" t="s">
        <v>996</v>
      </c>
      <c r="B1681" s="28" t="s">
        <v>997</v>
      </c>
      <c r="C1681" s="28" t="s">
        <v>997</v>
      </c>
      <c r="D1681" s="28" t="s">
        <v>997</v>
      </c>
    </row>
    <row r="1682" spans="1:4" ht="18" thickBot="1">
      <c r="A1682" s="17" t="s">
        <v>61</v>
      </c>
      <c r="B1682" s="28" t="s">
        <v>997</v>
      </c>
      <c r="C1682" s="28" t="s">
        <v>997</v>
      </c>
      <c r="D1682" s="28" t="s">
        <v>997</v>
      </c>
    </row>
    <row r="1683" spans="1:4" ht="18" thickBot="1">
      <c r="A1683" s="17" t="s">
        <v>459</v>
      </c>
      <c r="B1683" s="28" t="s">
        <v>997</v>
      </c>
      <c r="C1683" s="28" t="s">
        <v>997</v>
      </c>
      <c r="D1683" s="28" t="s">
        <v>997</v>
      </c>
    </row>
    <row r="1684" spans="1:4" ht="18" thickBot="1">
      <c r="A1684" s="17" t="s">
        <v>66</v>
      </c>
      <c r="B1684" s="28" t="s">
        <v>997</v>
      </c>
      <c r="C1684" s="28" t="s">
        <v>997</v>
      </c>
      <c r="D1684" s="28" t="s">
        <v>997</v>
      </c>
    </row>
    <row r="1685" spans="1:4" ht="18" thickBot="1">
      <c r="A1685" s="17" t="s">
        <v>52</v>
      </c>
      <c r="B1685" s="28" t="s">
        <v>997</v>
      </c>
      <c r="C1685" s="28" t="s">
        <v>997</v>
      </c>
      <c r="D1685" s="28" t="s">
        <v>997</v>
      </c>
    </row>
    <row r="1686" spans="1:4" ht="18" thickBot="1">
      <c r="A1686" s="17" t="s">
        <v>456</v>
      </c>
      <c r="B1686" s="28" t="s">
        <v>997</v>
      </c>
      <c r="C1686" s="28" t="s">
        <v>997</v>
      </c>
      <c r="D1686" s="28" t="s">
        <v>997</v>
      </c>
    </row>
    <row r="1687" spans="1:4" ht="18" thickBot="1">
      <c r="A1687" s="17" t="s">
        <v>591</v>
      </c>
      <c r="B1687" s="28" t="s">
        <v>997</v>
      </c>
      <c r="C1687" s="28" t="s">
        <v>997</v>
      </c>
      <c r="D1687" s="28" t="s">
        <v>997</v>
      </c>
    </row>
    <row r="1688" spans="1:4" ht="18" thickBot="1">
      <c r="A1688" s="20" t="s">
        <v>458</v>
      </c>
      <c r="B1688" s="29" t="s">
        <v>997</v>
      </c>
      <c r="C1688" s="29" t="s">
        <v>997</v>
      </c>
      <c r="D1688" s="30" t="s">
        <v>997</v>
      </c>
    </row>
    <row r="1691" spans="1:4">
      <c r="A1691" s="1" t="s">
        <v>998</v>
      </c>
    </row>
    <row r="1692" spans="1:4">
      <c r="A1692" s="1" t="s">
        <v>999</v>
      </c>
    </row>
    <row r="1693" spans="1:4">
      <c r="A1693" s="1" t="s">
        <v>1000</v>
      </c>
    </row>
    <row r="1694" spans="1:4">
      <c r="A1694" s="10" t="s">
        <v>1001</v>
      </c>
    </row>
    <row r="1695" spans="1:4">
      <c r="A1695" s="10" t="s">
        <v>1002</v>
      </c>
    </row>
    <row r="1696" spans="1:4">
      <c r="A1696" s="10" t="s">
        <v>1003</v>
      </c>
    </row>
    <row r="1697" spans="1:3">
      <c r="A1697" s="10" t="s">
        <v>1004</v>
      </c>
    </row>
    <row r="1698" spans="1:3">
      <c r="A1698" s="10" t="s">
        <v>1005</v>
      </c>
    </row>
    <row r="1699" spans="1:3">
      <c r="A1699" s="1" t="s">
        <v>1006</v>
      </c>
    </row>
    <row r="1700" spans="1:3">
      <c r="A1700" s="10" t="s">
        <v>1007</v>
      </c>
    </row>
    <row r="1701" spans="1:3">
      <c r="A1701" s="10" t="s">
        <v>1008</v>
      </c>
    </row>
    <row r="1702" spans="1:3">
      <c r="A1702" s="10" t="s">
        <v>1009</v>
      </c>
    </row>
    <row r="1703" spans="1:3">
      <c r="A1703" s="10" t="s">
        <v>1010</v>
      </c>
    </row>
    <row r="1704" spans="1:3">
      <c r="A1704" s="1" t="s">
        <v>1011</v>
      </c>
    </row>
    <row r="1705" spans="1:3">
      <c r="A1705" s="10" t="s">
        <v>1012</v>
      </c>
    </row>
    <row r="1706" spans="1:3">
      <c r="A1706" s="10" t="s">
        <v>1013</v>
      </c>
    </row>
    <row r="1707" spans="1:3">
      <c r="A1707" s="10" t="s">
        <v>1014</v>
      </c>
    </row>
    <row r="1710" spans="1:3">
      <c r="A1710" s="1" t="s">
        <v>1015</v>
      </c>
    </row>
    <row r="1711" spans="1:3" ht="15.75" thickBot="1">
      <c r="A1711" s="1" t="s">
        <v>1016</v>
      </c>
    </row>
    <row r="1712" spans="1:3" ht="15.75" thickBot="1">
      <c r="A1712" s="17" t="s">
        <v>456</v>
      </c>
      <c r="B1712" s="17" t="s">
        <v>1017</v>
      </c>
      <c r="C1712" s="17" t="s">
        <v>1018</v>
      </c>
    </row>
    <row r="1713" spans="1:3" ht="18" thickBot="1">
      <c r="A1713" s="17" t="s">
        <v>1019</v>
      </c>
      <c r="B1713" s="28" t="s">
        <v>997</v>
      </c>
      <c r="C1713" s="28" t="s">
        <v>997</v>
      </c>
    </row>
    <row r="1714" spans="1:3" ht="18" thickBot="1">
      <c r="A1714" s="17" t="s">
        <v>1020</v>
      </c>
      <c r="B1714" s="28" t="s">
        <v>997</v>
      </c>
      <c r="C1714" s="28" t="s">
        <v>997</v>
      </c>
    </row>
    <row r="1715" spans="1:3" ht="18" thickBot="1">
      <c r="A1715" s="20" t="s">
        <v>1021</v>
      </c>
      <c r="B1715" s="29" t="s">
        <v>997</v>
      </c>
      <c r="C1715" s="30" t="s">
        <v>997</v>
      </c>
    </row>
    <row r="1716" spans="1:3">
      <c r="A1716" s="1" t="s">
        <v>1022</v>
      </c>
    </row>
    <row r="1717" spans="1:3">
      <c r="A1717" s="10" t="s">
        <v>80</v>
      </c>
    </row>
    <row r="1718" spans="1:3">
      <c r="A1718" s="10" t="s">
        <v>82</v>
      </c>
    </row>
    <row r="1719" spans="1:3">
      <c r="A1719" s="10" t="s">
        <v>85</v>
      </c>
    </row>
    <row r="1722" spans="1:3">
      <c r="A1722" s="1" t="s">
        <v>1023</v>
      </c>
    </row>
    <row r="1723" spans="1:3">
      <c r="A1723" s="1" t="s">
        <v>1016</v>
      </c>
    </row>
    <row r="1724" spans="1:3">
      <c r="A1724" s="10" t="s">
        <v>1024</v>
      </c>
    </row>
    <row r="1725" spans="1:3">
      <c r="A1725" s="13" t="s">
        <v>1017</v>
      </c>
    </row>
    <row r="1726" spans="1:3">
      <c r="A1726" s="13" t="s">
        <v>1018</v>
      </c>
    </row>
    <row r="1727" spans="1:3">
      <c r="A1727" s="1" t="s">
        <v>1025</v>
      </c>
    </row>
    <row r="1728" spans="1:3">
      <c r="A1728" s="10" t="s">
        <v>1026</v>
      </c>
    </row>
    <row r="1729" spans="1:4">
      <c r="A1729" s="10" t="s">
        <v>1027</v>
      </c>
    </row>
    <row r="1730" spans="1:4">
      <c r="A1730" s="10" t="s">
        <v>1028</v>
      </c>
    </row>
    <row r="1731" spans="1:4">
      <c r="A1731" s="10" t="s">
        <v>1029</v>
      </c>
    </row>
    <row r="1732" spans="1:4">
      <c r="A1732" s="10" t="s">
        <v>1030</v>
      </c>
    </row>
    <row r="1733" spans="1:4">
      <c r="A1733" s="1" t="s">
        <v>1031</v>
      </c>
    </row>
    <row r="1734" spans="1:4">
      <c r="A1734" s="10" t="s">
        <v>1032</v>
      </c>
    </row>
    <row r="1735" spans="1:4">
      <c r="A1735" s="10" t="s">
        <v>1033</v>
      </c>
    </row>
    <row r="1736" spans="1:4">
      <c r="A1736" s="10" t="s">
        <v>1034</v>
      </c>
    </row>
    <row r="1739" spans="1:4" ht="15.75" thickBot="1">
      <c r="A1739" s="1" t="s">
        <v>1035</v>
      </c>
    </row>
    <row r="1740" spans="1:4" ht="15.75" thickBot="1">
      <c r="A1740" s="17" t="s">
        <v>156</v>
      </c>
      <c r="B1740" s="17" t="s">
        <v>80</v>
      </c>
      <c r="C1740" s="17" t="s">
        <v>82</v>
      </c>
      <c r="D1740" s="17" t="s">
        <v>85</v>
      </c>
    </row>
    <row r="1741" spans="1:4" ht="18" thickBot="1">
      <c r="A1741" s="17" t="s">
        <v>62</v>
      </c>
      <c r="B1741" s="28" t="s">
        <v>997</v>
      </c>
      <c r="C1741" s="28" t="s">
        <v>997</v>
      </c>
      <c r="D1741" s="28" t="s">
        <v>997</v>
      </c>
    </row>
    <row r="1742" spans="1:4" ht="18" thickBot="1">
      <c r="A1742" s="17" t="s">
        <v>457</v>
      </c>
      <c r="B1742" s="28" t="s">
        <v>997</v>
      </c>
      <c r="C1742" s="28" t="s">
        <v>997</v>
      </c>
      <c r="D1742" s="28" t="s">
        <v>997</v>
      </c>
    </row>
    <row r="1743" spans="1:4" ht="18" thickBot="1">
      <c r="A1743" s="17" t="s">
        <v>1036</v>
      </c>
      <c r="B1743" s="28" t="s">
        <v>997</v>
      </c>
      <c r="C1743" s="28" t="s">
        <v>997</v>
      </c>
      <c r="D1743" s="28" t="s">
        <v>997</v>
      </c>
    </row>
    <row r="1744" spans="1:4" ht="18" thickBot="1">
      <c r="A1744" s="20" t="s">
        <v>574</v>
      </c>
      <c r="B1744" s="29" t="s">
        <v>997</v>
      </c>
      <c r="C1744" s="29" t="s">
        <v>997</v>
      </c>
      <c r="D1744" s="30" t="s">
        <v>997</v>
      </c>
    </row>
    <row r="1747" spans="1:5">
      <c r="A1747" s="1" t="s">
        <v>1037</v>
      </c>
    </row>
    <row r="1748" spans="1:5" ht="15.75" thickBot="1">
      <c r="A1748" s="1" t="s">
        <v>1038</v>
      </c>
    </row>
    <row r="1749" spans="1:5" ht="15.75" thickBot="1">
      <c r="A1749" s="17" t="s">
        <v>1039</v>
      </c>
      <c r="B1749" s="17" t="s">
        <v>1040</v>
      </c>
      <c r="C1749" s="17" t="s">
        <v>1003</v>
      </c>
      <c r="D1749" s="17" t="s">
        <v>1041</v>
      </c>
      <c r="E1749" s="17" t="s">
        <v>1042</v>
      </c>
    </row>
    <row r="1750" spans="1:5" ht="18" thickBot="1">
      <c r="A1750" s="17" t="s">
        <v>90</v>
      </c>
      <c r="B1750" s="28" t="s">
        <v>997</v>
      </c>
      <c r="C1750" s="28" t="s">
        <v>997</v>
      </c>
      <c r="D1750" s="28" t="s">
        <v>997</v>
      </c>
      <c r="E1750" s="28" t="s">
        <v>997</v>
      </c>
    </row>
    <row r="1751" spans="1:5" ht="18" thickBot="1">
      <c r="A1751" s="17" t="s">
        <v>71</v>
      </c>
      <c r="B1751" s="28" t="s">
        <v>997</v>
      </c>
      <c r="C1751" s="28" t="s">
        <v>997</v>
      </c>
      <c r="D1751" s="28" t="s">
        <v>997</v>
      </c>
      <c r="E1751" s="28" t="s">
        <v>997</v>
      </c>
    </row>
    <row r="1752" spans="1:5" ht="18" thickBot="1">
      <c r="A1752" s="17" t="s">
        <v>67</v>
      </c>
      <c r="B1752" s="28" t="s">
        <v>997</v>
      </c>
      <c r="C1752" s="28" t="s">
        <v>997</v>
      </c>
      <c r="D1752" s="28" t="s">
        <v>997</v>
      </c>
      <c r="E1752" s="28" t="s">
        <v>997</v>
      </c>
    </row>
    <row r="1753" spans="1:5" ht="18" thickBot="1">
      <c r="A1753" s="17" t="s">
        <v>91</v>
      </c>
      <c r="B1753" s="28" t="s">
        <v>997</v>
      </c>
      <c r="C1753" s="28" t="s">
        <v>997</v>
      </c>
      <c r="D1753" s="28" t="s">
        <v>997</v>
      </c>
      <c r="E1753" s="28" t="s">
        <v>997</v>
      </c>
    </row>
    <row r="1754" spans="1:5" ht="18" thickBot="1">
      <c r="A1754" s="17" t="s">
        <v>92</v>
      </c>
      <c r="B1754" s="28" t="s">
        <v>997</v>
      </c>
      <c r="C1754" s="28" t="s">
        <v>997</v>
      </c>
      <c r="D1754" s="28" t="s">
        <v>997</v>
      </c>
      <c r="E1754" s="28" t="s">
        <v>997</v>
      </c>
    </row>
    <row r="1755" spans="1:5" ht="18" thickBot="1">
      <c r="A1755" s="17" t="s">
        <v>1043</v>
      </c>
      <c r="B1755" s="28" t="s">
        <v>997</v>
      </c>
      <c r="C1755" s="28" t="s">
        <v>997</v>
      </c>
      <c r="D1755" s="28" t="s">
        <v>997</v>
      </c>
      <c r="E1755" s="28" t="s">
        <v>997</v>
      </c>
    </row>
    <row r="1756" spans="1:5" ht="18" thickBot="1">
      <c r="A1756" s="17" t="s">
        <v>94</v>
      </c>
      <c r="B1756" s="28" t="s">
        <v>997</v>
      </c>
      <c r="C1756" s="28" t="s">
        <v>997</v>
      </c>
      <c r="D1756" s="28" t="s">
        <v>997</v>
      </c>
      <c r="E1756" s="28" t="s">
        <v>997</v>
      </c>
    </row>
    <row r="1757" spans="1:5" ht="18" thickBot="1">
      <c r="A1757" s="17" t="s">
        <v>473</v>
      </c>
      <c r="B1757" s="28" t="s">
        <v>997</v>
      </c>
      <c r="C1757" s="28" t="s">
        <v>997</v>
      </c>
      <c r="D1757" s="28" t="s">
        <v>997</v>
      </c>
      <c r="E1757" s="28" t="s">
        <v>997</v>
      </c>
    </row>
    <row r="1758" spans="1:5" ht="18" thickBot="1">
      <c r="A1758" s="20" t="s">
        <v>95</v>
      </c>
      <c r="B1758" s="29" t="s">
        <v>997</v>
      </c>
      <c r="C1758" s="29" t="s">
        <v>997</v>
      </c>
      <c r="D1758" s="29" t="s">
        <v>997</v>
      </c>
      <c r="E1758" s="30" t="s">
        <v>997</v>
      </c>
    </row>
    <row r="1761" spans="1:1">
      <c r="A1761" s="1" t="s">
        <v>1044</v>
      </c>
    </row>
    <row r="1762" spans="1:1">
      <c r="A1762" s="1" t="s">
        <v>1045</v>
      </c>
    </row>
    <row r="1763" spans="1:1">
      <c r="A1763" s="10" t="s">
        <v>161</v>
      </c>
    </row>
    <row r="1764" spans="1:1">
      <c r="A1764" s="10" t="s">
        <v>1046</v>
      </c>
    </row>
    <row r="1765" spans="1:1">
      <c r="A1765" s="10" t="s">
        <v>1047</v>
      </c>
    </row>
    <row r="1766" spans="1:1">
      <c r="A1766" s="1" t="s">
        <v>1048</v>
      </c>
    </row>
    <row r="1767" spans="1:1">
      <c r="A1767" s="10" t="s">
        <v>1049</v>
      </c>
    </row>
    <row r="1768" spans="1:1">
      <c r="A1768" s="10" t="s">
        <v>1050</v>
      </c>
    </row>
    <row r="1769" spans="1:1">
      <c r="A1769" s="10" t="s">
        <v>1051</v>
      </c>
    </row>
    <row r="1770" spans="1:1">
      <c r="A1770" s="10" t="s">
        <v>1052</v>
      </c>
    </row>
    <row r="1771" spans="1:1">
      <c r="A1771" s="1" t="s">
        <v>1053</v>
      </c>
    </row>
    <row r="1772" spans="1:1">
      <c r="A1772" s="10" t="s">
        <v>1040</v>
      </c>
    </row>
    <row r="1773" spans="1:1">
      <c r="A1773" s="10" t="s">
        <v>1050</v>
      </c>
    </row>
    <row r="1774" spans="1:1">
      <c r="A1774" s="10" t="s">
        <v>1041</v>
      </c>
    </row>
    <row r="1777" spans="1:4">
      <c r="A1777" s="1" t="s">
        <v>1054</v>
      </c>
    </row>
    <row r="1778" spans="1:4">
      <c r="A1778" s="1" t="s">
        <v>1055</v>
      </c>
    </row>
    <row r="1779" spans="1:4">
      <c r="A1779" s="10" t="s">
        <v>1056</v>
      </c>
    </row>
    <row r="1780" spans="1:4">
      <c r="A1780" s="10" t="s">
        <v>82</v>
      </c>
    </row>
    <row r="1781" spans="1:4">
      <c r="A1781" s="10" t="s">
        <v>1057</v>
      </c>
    </row>
    <row r="1782" spans="1:4">
      <c r="A1782" s="1" t="s">
        <v>1058</v>
      </c>
    </row>
    <row r="1783" spans="1:4">
      <c r="A1783" s="10" t="s">
        <v>1059</v>
      </c>
    </row>
    <row r="1784" spans="1:4">
      <c r="A1784" s="10" t="s">
        <v>91</v>
      </c>
    </row>
    <row r="1785" spans="1:4">
      <c r="A1785" s="10" t="s">
        <v>689</v>
      </c>
    </row>
    <row r="1786" spans="1:4">
      <c r="A1786" s="10" t="s">
        <v>568</v>
      </c>
    </row>
    <row r="1787" spans="1:4">
      <c r="A1787" s="1" t="s">
        <v>1060</v>
      </c>
    </row>
    <row r="1790" spans="1:4" ht="15.75" thickBot="1">
      <c r="A1790" s="1" t="s">
        <v>1061</v>
      </c>
    </row>
    <row r="1791" spans="1:4" ht="15.75" thickBot="1">
      <c r="A1791" s="17" t="s">
        <v>156</v>
      </c>
      <c r="B1791" s="17" t="s">
        <v>80</v>
      </c>
      <c r="C1791" s="17" t="s">
        <v>82</v>
      </c>
      <c r="D1791" s="17" t="s">
        <v>85</v>
      </c>
    </row>
    <row r="1792" spans="1:4" ht="18" thickBot="1">
      <c r="A1792" s="17" t="s">
        <v>996</v>
      </c>
      <c r="B1792" s="28" t="s">
        <v>997</v>
      </c>
      <c r="C1792" s="28" t="s">
        <v>997</v>
      </c>
      <c r="D1792" s="28" t="s">
        <v>997</v>
      </c>
    </row>
    <row r="1793" spans="1:4" ht="18" thickBot="1">
      <c r="A1793" s="17" t="s">
        <v>459</v>
      </c>
      <c r="B1793" s="28" t="s">
        <v>997</v>
      </c>
      <c r="C1793" s="28" t="s">
        <v>997</v>
      </c>
      <c r="D1793" s="28" t="s">
        <v>997</v>
      </c>
    </row>
    <row r="1794" spans="1:4" ht="18" thickBot="1">
      <c r="A1794" s="17" t="s">
        <v>52</v>
      </c>
      <c r="B1794" s="28" t="s">
        <v>997</v>
      </c>
      <c r="C1794" s="28" t="s">
        <v>997</v>
      </c>
      <c r="D1794" s="28" t="s">
        <v>997</v>
      </c>
    </row>
    <row r="1795" spans="1:4" ht="18" thickBot="1">
      <c r="A1795" s="17" t="s">
        <v>456</v>
      </c>
      <c r="B1795" s="28" t="s">
        <v>997</v>
      </c>
      <c r="C1795" s="28" t="s">
        <v>997</v>
      </c>
      <c r="D1795" s="28" t="s">
        <v>997</v>
      </c>
    </row>
    <row r="1796" spans="1:4" ht="18" thickBot="1">
      <c r="A1796" s="17" t="s">
        <v>65</v>
      </c>
      <c r="B1796" s="28" t="s">
        <v>997</v>
      </c>
      <c r="C1796" s="28" t="s">
        <v>997</v>
      </c>
      <c r="D1796" s="28" t="s">
        <v>997</v>
      </c>
    </row>
    <row r="1797" spans="1:4" ht="18" thickBot="1">
      <c r="A1797" s="20" t="s">
        <v>62</v>
      </c>
      <c r="B1797" s="29" t="s">
        <v>997</v>
      </c>
      <c r="C1797" s="29" t="s">
        <v>997</v>
      </c>
      <c r="D1797" s="30" t="s">
        <v>997</v>
      </c>
    </row>
    <row r="1800" spans="1:4">
      <c r="A1800" s="1" t="s">
        <v>1062</v>
      </c>
    </row>
    <row r="1801" spans="1:4">
      <c r="A1801" s="1" t="s">
        <v>1063</v>
      </c>
    </row>
    <row r="1802" spans="1:4">
      <c r="A1802" s="10" t="s">
        <v>1064</v>
      </c>
    </row>
    <row r="1803" spans="1:4">
      <c r="A1803" s="10" t="s">
        <v>161</v>
      </c>
    </row>
    <row r="1804" spans="1:4">
      <c r="A1804" s="10" t="s">
        <v>984</v>
      </c>
    </row>
    <row r="1805" spans="1:4">
      <c r="A1805" s="10" t="s">
        <v>1047</v>
      </c>
    </row>
    <row r="1806" spans="1:4">
      <c r="A1806" s="10" t="s">
        <v>1065</v>
      </c>
    </row>
    <row r="1807" spans="1:4">
      <c r="A1807" s="1" t="s">
        <v>1066</v>
      </c>
    </row>
    <row r="1808" spans="1:4">
      <c r="A1808" s="10" t="s">
        <v>1001</v>
      </c>
    </row>
    <row r="1809" spans="1:2">
      <c r="A1809" s="10" t="s">
        <v>1002</v>
      </c>
    </row>
    <row r="1810" spans="1:2">
      <c r="A1810" s="10" t="s">
        <v>1003</v>
      </c>
    </row>
    <row r="1811" spans="1:2">
      <c r="A1811" s="10" t="s">
        <v>1004</v>
      </c>
    </row>
    <row r="1812" spans="1:2">
      <c r="A1812" s="10" t="s">
        <v>1005</v>
      </c>
    </row>
    <row r="1815" spans="1:2">
      <c r="A1815" s="1" t="s">
        <v>1067</v>
      </c>
    </row>
    <row r="1816" spans="1:2">
      <c r="A1816" s="1" t="s">
        <v>1068</v>
      </c>
    </row>
    <row r="1817" spans="1:2">
      <c r="A1817" s="1" t="s">
        <v>1069</v>
      </c>
    </row>
    <row r="1818" spans="1:2">
      <c r="A1818" s="1" t="s">
        <v>1070</v>
      </c>
    </row>
    <row r="1819" spans="1:2">
      <c r="A1819" s="1" t="s">
        <v>1069</v>
      </c>
    </row>
    <row r="1822" spans="1:2">
      <c r="A1822" s="1" t="s">
        <v>1071</v>
      </c>
    </row>
    <row r="1823" spans="1:2" ht="15.75" thickBot="1">
      <c r="A1823" s="1" t="s">
        <v>1072</v>
      </c>
    </row>
    <row r="1824" spans="1:2" ht="15.75" thickBot="1">
      <c r="A1824" s="17" t="s">
        <v>1073</v>
      </c>
      <c r="B1824" s="17" t="s">
        <v>1074</v>
      </c>
    </row>
    <row r="1825" spans="1:2" ht="15.75" thickBot="1">
      <c r="A1825" s="17" t="s">
        <v>1075</v>
      </c>
      <c r="B1825" s="17" t="s">
        <v>1076</v>
      </c>
    </row>
    <row r="1826" spans="1:2" ht="15.75" thickBot="1">
      <c r="A1826" s="17" t="s">
        <v>1077</v>
      </c>
      <c r="B1826" s="17" t="s">
        <v>1078</v>
      </c>
    </row>
    <row r="1827" spans="1:2" ht="15.75" thickBot="1">
      <c r="A1827" s="17" t="s">
        <v>1079</v>
      </c>
      <c r="B1827" s="17" t="s">
        <v>1080</v>
      </c>
    </row>
    <row r="1828" spans="1:2" ht="15.75" thickBot="1">
      <c r="A1828" s="17" t="s">
        <v>1081</v>
      </c>
      <c r="B1828" s="17" t="s">
        <v>947</v>
      </c>
    </row>
    <row r="1829" spans="1:2" ht="15.75" thickBot="1">
      <c r="A1829" s="20" t="s">
        <v>1082</v>
      </c>
      <c r="B1829" s="22" t="s">
        <v>580</v>
      </c>
    </row>
    <row r="1832" spans="1:2">
      <c r="A1832" s="1" t="s">
        <v>1083</v>
      </c>
    </row>
    <row r="1833" spans="1:2">
      <c r="A1833" s="1" t="s">
        <v>1084</v>
      </c>
    </row>
    <row r="1834" spans="1:2">
      <c r="A1834" s="10" t="s">
        <v>1085</v>
      </c>
    </row>
    <row r="1835" spans="1:2">
      <c r="A1835" s="10" t="s">
        <v>1086</v>
      </c>
    </row>
    <row r="1836" spans="1:2">
      <c r="A1836" s="10" t="s">
        <v>1087</v>
      </c>
    </row>
    <row r="1837" spans="1:2">
      <c r="A1837" s="10" t="s">
        <v>1088</v>
      </c>
    </row>
    <row r="1838" spans="1:2">
      <c r="A1838" s="10" t="s">
        <v>1089</v>
      </c>
    </row>
    <row r="1839" spans="1:2">
      <c r="A1839" s="10" t="s">
        <v>1090</v>
      </c>
    </row>
    <row r="1840" spans="1:2">
      <c r="A1840" s="10" t="s">
        <v>1091</v>
      </c>
    </row>
    <row r="1841" spans="1:1">
      <c r="A1841" s="10" t="s">
        <v>1092</v>
      </c>
    </row>
    <row r="1842" spans="1:1">
      <c r="A1842" s="10" t="s">
        <v>1093</v>
      </c>
    </row>
    <row r="1843" spans="1:1">
      <c r="A1843" s="10" t="s">
        <v>1094</v>
      </c>
    </row>
    <row r="1846" spans="1:1">
      <c r="A1846" s="1" t="s">
        <v>1095</v>
      </c>
    </row>
    <row r="1847" spans="1:1">
      <c r="A1847" s="1" t="s">
        <v>1096</v>
      </c>
    </row>
    <row r="1848" spans="1:1">
      <c r="A1848" s="1" t="s">
        <v>1097</v>
      </c>
    </row>
    <row r="1849" spans="1:1">
      <c r="A1849" s="1" t="s">
        <v>996</v>
      </c>
    </row>
    <row r="1850" spans="1:1">
      <c r="A1850" s="1" t="s">
        <v>456</v>
      </c>
    </row>
    <row r="1851" spans="1:1">
      <c r="A1851" s="1" t="s">
        <v>52</v>
      </c>
    </row>
    <row r="1852" spans="1:1">
      <c r="A1852" s="1" t="s">
        <v>381</v>
      </c>
    </row>
    <row r="1853" spans="1:1">
      <c r="A1853" s="1" t="s">
        <v>1078</v>
      </c>
    </row>
    <row r="1854" spans="1:1">
      <c r="A1854" s="1" t="s">
        <v>764</v>
      </c>
    </row>
    <row r="1855" spans="1:1">
      <c r="A1855" s="1" t="s">
        <v>65</v>
      </c>
    </row>
    <row r="1856" spans="1:1">
      <c r="A1856" s="1" t="s">
        <v>460</v>
      </c>
    </row>
    <row r="1857" spans="1:1">
      <c r="A1857" s="1" t="s">
        <v>580</v>
      </c>
    </row>
    <row r="1858" spans="1:1">
      <c r="A1858" s="1" t="s">
        <v>947</v>
      </c>
    </row>
    <row r="1861" spans="1:1">
      <c r="A1861" s="1" t="s">
        <v>1098</v>
      </c>
    </row>
    <row r="1862" spans="1:1">
      <c r="A1862" s="1" t="s">
        <v>1099</v>
      </c>
    </row>
    <row r="1863" spans="1:1">
      <c r="A1863" s="1" t="s">
        <v>957</v>
      </c>
    </row>
    <row r="1864" spans="1:1">
      <c r="A1864" s="10" t="s">
        <v>1100</v>
      </c>
    </row>
    <row r="1865" spans="1:1">
      <c r="A1865" s="10" t="s">
        <v>1101</v>
      </c>
    </row>
    <row r="1866" spans="1:1">
      <c r="A1866" s="10" t="s">
        <v>1102</v>
      </c>
    </row>
    <row r="1869" spans="1:1">
      <c r="A1869" s="1" t="s">
        <v>1103</v>
      </c>
    </row>
    <row r="1872" spans="1:1">
      <c r="A1872" s="1" t="s">
        <v>1104</v>
      </c>
    </row>
    <row r="1873" spans="1:1">
      <c r="A1873" s="1" t="s">
        <v>1105</v>
      </c>
    </row>
    <row r="1874" spans="1:1">
      <c r="A1874" s="4"/>
    </row>
    <row r="1875" spans="1:1">
      <c r="A1875" s="4"/>
    </row>
    <row r="1876" spans="1:1">
      <c r="A1876" s="10" t="s">
        <v>1106</v>
      </c>
    </row>
    <row r="1877" spans="1:1">
      <c r="A1877" s="10" t="s">
        <v>1107</v>
      </c>
    </row>
    <row r="1878" spans="1:1">
      <c r="A1878" s="10" t="s">
        <v>1108</v>
      </c>
    </row>
    <row r="1879" spans="1:1">
      <c r="A1879" s="1" t="s">
        <v>1109</v>
      </c>
    </row>
    <row r="1882" spans="1:1">
      <c r="A1882" s="1"/>
    </row>
    <row r="1883" spans="1:1">
      <c r="A1883" s="1"/>
    </row>
    <row r="1884" spans="1:1">
      <c r="A1884" s="1"/>
    </row>
    <row r="1885" spans="1:1">
      <c r="A1885" s="1"/>
    </row>
    <row r="1886" spans="1:1">
      <c r="A1886" s="1"/>
    </row>
    <row r="1887" spans="1:1">
      <c r="A1887" s="1"/>
    </row>
    <row r="1888" spans="1:1">
      <c r="A1888" s="1"/>
    </row>
    <row r="1889" spans="1:1">
      <c r="A1889" s="1"/>
    </row>
    <row r="1890" spans="1:1">
      <c r="A1890" s="1"/>
    </row>
    <row r="1891" spans="1:1">
      <c r="A1891" s="1"/>
    </row>
    <row r="1892" spans="1:1">
      <c r="A1892" s="1"/>
    </row>
    <row r="1893" spans="1:1">
      <c r="A1893" s="1"/>
    </row>
    <row r="1894" spans="1:1">
      <c r="A1894" s="1"/>
    </row>
    <row r="1895" spans="1:1">
      <c r="A1895" s="1"/>
    </row>
    <row r="1896" spans="1:1">
      <c r="A1896" s="1"/>
    </row>
    <row r="1897" spans="1:1">
      <c r="A1897" s="1"/>
    </row>
    <row r="1898" spans="1:1">
      <c r="A1898" s="1"/>
    </row>
    <row r="1899" spans="1:1">
      <c r="A1899" s="1"/>
    </row>
    <row r="1900" spans="1:1">
      <c r="A1900" s="1"/>
    </row>
    <row r="1901" spans="1:1">
      <c r="A1901" s="1" t="s">
        <v>1110</v>
      </c>
    </row>
    <row r="1902" spans="1:1">
      <c r="A1902" s="1" t="s">
        <v>1111</v>
      </c>
    </row>
    <row r="1903" spans="1:1">
      <c r="A1903" s="1" t="s">
        <v>1112</v>
      </c>
    </row>
    <row r="1904" spans="1:1">
      <c r="A1904" s="1" t="s">
        <v>1113</v>
      </c>
    </row>
    <row r="1905" spans="1:2">
      <c r="A1905" s="10" t="s">
        <v>994</v>
      </c>
    </row>
    <row r="1906" spans="1:2">
      <c r="A1906" s="10" t="s">
        <v>767</v>
      </c>
    </row>
    <row r="1907" spans="1:2">
      <c r="A1907" s="10" t="s">
        <v>995</v>
      </c>
    </row>
    <row r="1908" spans="1:2">
      <c r="A1908" s="1" t="s">
        <v>1114</v>
      </c>
    </row>
    <row r="1911" spans="1:2">
      <c r="A1911" s="1" t="s">
        <v>1115</v>
      </c>
    </row>
    <row r="1912" spans="1:2">
      <c r="A1912" s="1"/>
    </row>
    <row r="1913" spans="1:2">
      <c r="A1913" s="1" t="s">
        <v>1116</v>
      </c>
    </row>
    <row r="1914" spans="1:2">
      <c r="A1914" s="1" t="s">
        <v>1117</v>
      </c>
    </row>
    <row r="1915" spans="1:2">
      <c r="A1915" s="1" t="s">
        <v>1118</v>
      </c>
    </row>
    <row r="1916" spans="1:2">
      <c r="A1916" s="1" t="s">
        <v>1119</v>
      </c>
    </row>
    <row r="1917" spans="1:2">
      <c r="A1917" s="1"/>
    </row>
    <row r="1918" spans="1:2" ht="15.75" thickBot="1">
      <c r="A1918" s="1" t="s">
        <v>1120</v>
      </c>
    </row>
    <row r="1919" spans="1:2" ht="15.75" thickBot="1">
      <c r="A1919" s="17" t="s">
        <v>50</v>
      </c>
      <c r="B1919" s="17" t="s">
        <v>1120</v>
      </c>
    </row>
    <row r="1920" spans="1:2" ht="15.75" thickBot="1">
      <c r="A1920" s="17" t="s">
        <v>1121</v>
      </c>
      <c r="B1920" s="17" t="s">
        <v>1122</v>
      </c>
    </row>
    <row r="1921" spans="1:2" ht="15.75" thickBot="1">
      <c r="A1921" s="59">
        <f xml:space="preserve"> 50</f>
        <v>50</v>
      </c>
      <c r="B1921" s="17" t="s">
        <v>615</v>
      </c>
    </row>
    <row r="1922" spans="1:2" ht="15.75" thickBot="1">
      <c r="A1922" s="20" t="s">
        <v>1123</v>
      </c>
      <c r="B1922" s="22" t="s">
        <v>1124</v>
      </c>
    </row>
    <row r="1925" spans="1:2">
      <c r="A1925" s="1" t="s">
        <v>1125</v>
      </c>
    </row>
    <row r="1926" spans="1:2">
      <c r="A1926" s="1"/>
    </row>
    <row r="1927" spans="1:2" ht="15.75" thickBot="1">
      <c r="A1927" s="1" t="s">
        <v>1126</v>
      </c>
    </row>
    <row r="1928" spans="1:2" ht="15.75" thickBot="1">
      <c r="A1928" s="17" t="s">
        <v>1127</v>
      </c>
      <c r="B1928" s="17" t="s">
        <v>1128</v>
      </c>
    </row>
    <row r="1929" spans="1:2" ht="15.75" thickBot="1">
      <c r="A1929" s="17" t="s">
        <v>80</v>
      </c>
      <c r="B1929" s="17">
        <v>40</v>
      </c>
    </row>
    <row r="1930" spans="1:2" ht="15.75" thickBot="1">
      <c r="A1930" s="17" t="s">
        <v>82</v>
      </c>
      <c r="B1930" s="17">
        <v>30</v>
      </c>
    </row>
    <row r="1931" spans="1:2" ht="15.75" thickBot="1">
      <c r="A1931" s="20" t="s">
        <v>85</v>
      </c>
      <c r="B1931" s="22">
        <v>30</v>
      </c>
    </row>
    <row r="1932" spans="1:2">
      <c r="A1932" s="1" t="s">
        <v>1129</v>
      </c>
    </row>
    <row r="1933" spans="1:2">
      <c r="A1933" s="1" t="s">
        <v>1130</v>
      </c>
    </row>
    <row r="1934" spans="1:2">
      <c r="A1934" s="1" t="s">
        <v>1131</v>
      </c>
    </row>
    <row r="1935" spans="1:2">
      <c r="A1935" s="1" t="s">
        <v>1132</v>
      </c>
    </row>
    <row r="1936" spans="1:2" ht="17.25">
      <c r="A1936" s="16" t="s">
        <v>1133</v>
      </c>
    </row>
    <row r="1939" spans="1:1">
      <c r="A1939" s="1" t="s">
        <v>1134</v>
      </c>
    </row>
    <row r="1940" spans="1:1">
      <c r="A1940" s="1" t="s">
        <v>1135</v>
      </c>
    </row>
    <row r="1941" spans="1:1">
      <c r="A1941" s="10" t="s">
        <v>1085</v>
      </c>
    </row>
    <row r="1942" spans="1:1">
      <c r="A1942" s="10" t="s">
        <v>1136</v>
      </c>
    </row>
    <row r="1943" spans="1:1">
      <c r="A1943" s="10" t="s">
        <v>1137</v>
      </c>
    </row>
    <row r="1944" spans="1:1">
      <c r="A1944" s="10" t="s">
        <v>1087</v>
      </c>
    </row>
    <row r="1945" spans="1:1">
      <c r="A1945" s="10" t="s">
        <v>1088</v>
      </c>
    </row>
    <row r="1946" spans="1:1">
      <c r="A1946" s="10" t="s">
        <v>1138</v>
      </c>
    </row>
    <row r="1947" spans="1:1">
      <c r="A1947" s="10" t="s">
        <v>1139</v>
      </c>
    </row>
    <row r="1948" spans="1:1">
      <c r="A1948" s="10" t="s">
        <v>1091</v>
      </c>
    </row>
    <row r="1949" spans="1:1">
      <c r="A1949" s="10" t="s">
        <v>1093</v>
      </c>
    </row>
    <row r="1950" spans="1:1">
      <c r="A1950" s="1"/>
    </row>
    <row r="1951" spans="1:1">
      <c r="A1951" s="1" t="s">
        <v>1142</v>
      </c>
    </row>
    <row r="1952" spans="1:1">
      <c r="A1952" s="1" t="s">
        <v>674</v>
      </c>
    </row>
    <row r="1953" spans="1:1">
      <c r="A1953" s="1" t="s">
        <v>1143</v>
      </c>
    </row>
    <row r="1954" spans="1:1">
      <c r="A1954" s="1" t="s">
        <v>1144</v>
      </c>
    </row>
    <row r="1955" spans="1:1">
      <c r="A1955" s="1" t="s">
        <v>695</v>
      </c>
    </row>
    <row r="1956" spans="1:1">
      <c r="A1956" s="1" t="s">
        <v>1145</v>
      </c>
    </row>
    <row r="1957" spans="1:1">
      <c r="A1957" s="1" t="s">
        <v>1146</v>
      </c>
    </row>
    <row r="1960" spans="1:1">
      <c r="A1960" s="1" t="s">
        <v>1147</v>
      </c>
    </row>
    <row r="1961" spans="1:1">
      <c r="A1961" s="1" t="s">
        <v>1117</v>
      </c>
    </row>
    <row r="1962" spans="1:1">
      <c r="A1962" s="1" t="s">
        <v>1148</v>
      </c>
    </row>
    <row r="1963" spans="1:1">
      <c r="A1963" s="1" t="s">
        <v>1149</v>
      </c>
    </row>
    <row r="1964" spans="1:1">
      <c r="A1964" s="1" t="s">
        <v>1150</v>
      </c>
    </row>
    <row r="1965" spans="1:1">
      <c r="A1965" s="1" t="s">
        <v>1151</v>
      </c>
    </row>
    <row r="1968" spans="1:1">
      <c r="A1968" s="1" t="s">
        <v>1152</v>
      </c>
    </row>
    <row r="1969" spans="1:2">
      <c r="A1969" s="1" t="s">
        <v>1153</v>
      </c>
    </row>
    <row r="1970" spans="1:2">
      <c r="A1970" s="10" t="s">
        <v>1154</v>
      </c>
    </row>
    <row r="1971" spans="1:2">
      <c r="A1971" s="10" t="s">
        <v>1155</v>
      </c>
    </row>
    <row r="1972" spans="1:2">
      <c r="A1972" s="10" t="s">
        <v>1156</v>
      </c>
    </row>
    <row r="1973" spans="1:2">
      <c r="A1973" s="10" t="s">
        <v>61</v>
      </c>
    </row>
    <row r="1974" spans="1:2" ht="15.75" thickBot="1">
      <c r="A1974" s="1" t="s">
        <v>1157</v>
      </c>
    </row>
    <row r="1975" spans="1:2" ht="15.75" thickBot="1">
      <c r="A1975" s="17" t="s">
        <v>155</v>
      </c>
      <c r="B1975" s="17" t="s">
        <v>1158</v>
      </c>
    </row>
    <row r="1976" spans="1:2" ht="15.75" thickBot="1">
      <c r="A1976" s="17" t="s">
        <v>19</v>
      </c>
      <c r="B1976" s="18">
        <v>0.4</v>
      </c>
    </row>
    <row r="1977" spans="1:2" ht="15.75" thickBot="1">
      <c r="A1977" s="20" t="s">
        <v>20</v>
      </c>
      <c r="B1977" s="31">
        <v>0.6</v>
      </c>
    </row>
    <row r="1978" spans="1:2">
      <c r="A1978" s="1" t="s">
        <v>1159</v>
      </c>
    </row>
    <row r="1979" spans="1:2">
      <c r="A1979" s="10" t="s">
        <v>1160</v>
      </c>
    </row>
    <row r="1980" spans="1:2">
      <c r="A1980" s="10" t="s">
        <v>1161</v>
      </c>
    </row>
    <row r="1981" spans="1:2">
      <c r="A1981" s="10" t="s">
        <v>1162</v>
      </c>
    </row>
    <row r="1984" spans="1:2" ht="15.75" thickBot="1">
      <c r="A1984" s="1" t="s">
        <v>1163</v>
      </c>
    </row>
    <row r="1985" spans="1:2" ht="27.75" customHeight="1" thickBot="1">
      <c r="A1985" s="58" t="s">
        <v>156</v>
      </c>
      <c r="B1985" s="58" t="s">
        <v>1164</v>
      </c>
    </row>
    <row r="1986" spans="1:2" ht="15.75" thickBot="1">
      <c r="A1986" s="17" t="s">
        <v>160</v>
      </c>
      <c r="B1986" s="18">
        <v>0.25</v>
      </c>
    </row>
    <row r="1987" spans="1:2" ht="15.75" thickBot="1">
      <c r="A1987" s="17" t="s">
        <v>459</v>
      </c>
      <c r="B1987" s="18">
        <v>0.15</v>
      </c>
    </row>
    <row r="1988" spans="1:2" ht="15.75" thickBot="1">
      <c r="A1988" s="17" t="s">
        <v>456</v>
      </c>
      <c r="B1988" s="18">
        <v>0.15</v>
      </c>
    </row>
    <row r="1989" spans="1:2" ht="15.75" thickBot="1">
      <c r="A1989" s="17" t="s">
        <v>52</v>
      </c>
      <c r="B1989" s="18">
        <v>0.15</v>
      </c>
    </row>
    <row r="1990" spans="1:2" ht="15.75" thickBot="1">
      <c r="A1990" s="17" t="s">
        <v>457</v>
      </c>
      <c r="B1990" s="18">
        <v>0.15</v>
      </c>
    </row>
    <row r="1991" spans="1:2" ht="27.75" customHeight="1" thickBot="1">
      <c r="A1991" s="20" t="s">
        <v>458</v>
      </c>
      <c r="B1991" s="31">
        <v>0.15</v>
      </c>
    </row>
    <row r="1994" spans="1:2" ht="15.75" thickBot="1">
      <c r="A1994" s="1" t="s">
        <v>1165</v>
      </c>
    </row>
    <row r="1995" spans="1:2" ht="15.75" thickBot="1">
      <c r="A1995" s="17" t="s">
        <v>156</v>
      </c>
      <c r="B1995" s="17" t="s">
        <v>1164</v>
      </c>
    </row>
    <row r="1996" spans="1:2" ht="15.75" thickBot="1">
      <c r="A1996" s="17" t="s">
        <v>162</v>
      </c>
      <c r="B1996" s="18">
        <v>0.3</v>
      </c>
    </row>
    <row r="1997" spans="1:2" ht="15.75" thickBot="1">
      <c r="A1997" s="17" t="s">
        <v>66</v>
      </c>
      <c r="B1997" s="18">
        <v>0.1</v>
      </c>
    </row>
    <row r="1998" spans="1:2" ht="15.75" thickBot="1">
      <c r="A1998" s="17" t="s">
        <v>62</v>
      </c>
      <c r="B1998" s="18">
        <v>0.15</v>
      </c>
    </row>
    <row r="1999" spans="1:2" ht="15.75" thickBot="1">
      <c r="A1999" s="17" t="s">
        <v>65</v>
      </c>
      <c r="B1999" s="18">
        <v>0.15</v>
      </c>
    </row>
    <row r="2000" spans="1:2" ht="15.75" thickBot="1">
      <c r="A2000" s="17" t="s">
        <v>456</v>
      </c>
      <c r="B2000" s="18">
        <v>0.15</v>
      </c>
    </row>
    <row r="2001" spans="1:2" ht="15.75" thickBot="1">
      <c r="A2001" s="20" t="s">
        <v>458</v>
      </c>
      <c r="B2001" s="31">
        <v>0.15</v>
      </c>
    </row>
    <row r="2004" spans="1:2" ht="15.75" thickBot="1">
      <c r="A2004" s="1" t="s">
        <v>1166</v>
      </c>
    </row>
    <row r="2005" spans="1:2" ht="15.75" thickBot="1">
      <c r="A2005" s="58" t="s">
        <v>1167</v>
      </c>
      <c r="B2005" s="58" t="s">
        <v>1168</v>
      </c>
    </row>
    <row r="2006" spans="1:2" ht="15.75" thickBot="1">
      <c r="A2006" s="58" t="s">
        <v>1169</v>
      </c>
      <c r="B2006" s="58" t="s">
        <v>1047</v>
      </c>
    </row>
    <row r="2007" spans="1:2" ht="15.75" thickBot="1">
      <c r="A2007" s="58" t="s">
        <v>1170</v>
      </c>
      <c r="B2007" s="58" t="s">
        <v>1171</v>
      </c>
    </row>
    <row r="2008" spans="1:2" ht="15.75" thickBot="1">
      <c r="A2008" s="58">
        <v>50</v>
      </c>
      <c r="B2008" s="58" t="s">
        <v>82</v>
      </c>
    </row>
    <row r="2009" spans="1:2" ht="15.75" thickBot="1">
      <c r="A2009" s="58" t="s">
        <v>1172</v>
      </c>
      <c r="B2009" s="58" t="s">
        <v>1173</v>
      </c>
    </row>
    <row r="2010" spans="1:2" ht="15.75" thickBot="1">
      <c r="A2010" s="60" t="s">
        <v>1174</v>
      </c>
      <c r="B2010" s="61" t="s">
        <v>1175</v>
      </c>
    </row>
    <row r="2013" spans="1:2">
      <c r="A2013" s="1"/>
    </row>
    <row r="2014" spans="1:2">
      <c r="A2014" s="1"/>
    </row>
    <row r="2015" spans="1:2">
      <c r="A2015" s="1"/>
    </row>
    <row r="2016" spans="1:2">
      <c r="A2016" s="1"/>
    </row>
    <row r="2017" spans="1:5">
      <c r="A2017" s="1"/>
    </row>
    <row r="2018" spans="1:5">
      <c r="A2018" s="1" t="s">
        <v>1176</v>
      </c>
    </row>
    <row r="2019" spans="1:5">
      <c r="A2019" s="1" t="s">
        <v>1177</v>
      </c>
    </row>
    <row r="2020" spans="1:5">
      <c r="A2020" s="1" t="s">
        <v>1178</v>
      </c>
    </row>
    <row r="2021" spans="1:5">
      <c r="A2021" s="1" t="s">
        <v>1179</v>
      </c>
    </row>
    <row r="2022" spans="1:5">
      <c r="A2022" s="10" t="s">
        <v>1180</v>
      </c>
    </row>
    <row r="2023" spans="1:5">
      <c r="A2023" s="10" t="s">
        <v>949</v>
      </c>
    </row>
    <row r="2024" spans="1:5">
      <c r="A2024" s="10" t="s">
        <v>1181</v>
      </c>
    </row>
    <row r="2025" spans="1:5">
      <c r="A2025" s="10" t="s">
        <v>1182</v>
      </c>
    </row>
    <row r="2026" spans="1:5">
      <c r="A2026" s="10" t="s">
        <v>460</v>
      </c>
    </row>
    <row r="2029" spans="1:5">
      <c r="A2029" s="1" t="s">
        <v>1183</v>
      </c>
    </row>
    <row r="2030" spans="1:5">
      <c r="A2030" s="1" t="s">
        <v>1184</v>
      </c>
    </row>
    <row r="2031" spans="1:5">
      <c r="A2031" s="10" t="s">
        <v>1185</v>
      </c>
      <c r="B2031" t="s">
        <v>1684</v>
      </c>
      <c r="C2031" t="s">
        <v>1685</v>
      </c>
      <c r="D2031" t="s">
        <v>1686</v>
      </c>
      <c r="E2031" t="s">
        <v>1687</v>
      </c>
    </row>
    <row r="2032" spans="1:5">
      <c r="A2032" s="10" t="s">
        <v>1186</v>
      </c>
    </row>
    <row r="2033" spans="1:5">
      <c r="A2033" s="10" t="s">
        <v>381</v>
      </c>
    </row>
    <row r="2034" spans="1:5">
      <c r="A2034" s="10" t="s">
        <v>52</v>
      </c>
    </row>
    <row r="2035" spans="1:5">
      <c r="A2035" s="10" t="s">
        <v>456</v>
      </c>
    </row>
    <row r="2038" spans="1:5">
      <c r="A2038" s="1" t="s">
        <v>1187</v>
      </c>
    </row>
    <row r="2039" spans="1:5">
      <c r="A2039" s="1" t="s">
        <v>1188</v>
      </c>
    </row>
    <row r="2040" spans="1:5">
      <c r="A2040" s="10" t="s">
        <v>160</v>
      </c>
      <c r="B2040" t="s">
        <v>1684</v>
      </c>
      <c r="C2040" t="s">
        <v>1685</v>
      </c>
      <c r="D2040" t="s">
        <v>1686</v>
      </c>
      <c r="E2040" t="s">
        <v>1687</v>
      </c>
    </row>
    <row r="2041" spans="1:5">
      <c r="A2041" s="10" t="s">
        <v>459</v>
      </c>
    </row>
    <row r="2042" spans="1:5">
      <c r="A2042" s="10" t="s">
        <v>66</v>
      </c>
    </row>
    <row r="2043" spans="1:5">
      <c r="A2043" s="10" t="s">
        <v>456</v>
      </c>
    </row>
    <row r="2044" spans="1:5">
      <c r="A2044" s="10" t="s">
        <v>52</v>
      </c>
    </row>
    <row r="2045" spans="1:5">
      <c r="A2045" s="10" t="s">
        <v>457</v>
      </c>
    </row>
    <row r="2046" spans="1:5">
      <c r="A2046" s="10" t="s">
        <v>1078</v>
      </c>
    </row>
    <row r="2047" spans="1:5">
      <c r="A2047" s="10" t="s">
        <v>460</v>
      </c>
    </row>
    <row r="2048" spans="1:5">
      <c r="A2048" s="1" t="s">
        <v>1189</v>
      </c>
    </row>
    <row r="2049" spans="1:1">
      <c r="A2049" s="1" t="s">
        <v>1190</v>
      </c>
    </row>
    <row r="2050" spans="1:1">
      <c r="A2050" s="1" t="s">
        <v>1191</v>
      </c>
    </row>
    <row r="2053" spans="1:1">
      <c r="A2053" s="1" t="s">
        <v>1192</v>
      </c>
    </row>
    <row r="2054" spans="1:1">
      <c r="A2054" s="1" t="s">
        <v>1188</v>
      </c>
    </row>
    <row r="2055" spans="1:1">
      <c r="A2055" s="10" t="s">
        <v>162</v>
      </c>
    </row>
    <row r="2056" spans="1:1">
      <c r="A2056" s="10" t="s">
        <v>62</v>
      </c>
    </row>
    <row r="2057" spans="1:1">
      <c r="A2057" s="10" t="s">
        <v>66</v>
      </c>
    </row>
    <row r="2058" spans="1:1">
      <c r="A2058" s="10" t="s">
        <v>65</v>
      </c>
    </row>
    <row r="2059" spans="1:1">
      <c r="A2059" s="10" t="s">
        <v>456</v>
      </c>
    </row>
    <row r="2060" spans="1:1">
      <c r="A2060" s="10" t="s">
        <v>458</v>
      </c>
    </row>
    <row r="2061" spans="1:1">
      <c r="A2061" s="10" t="s">
        <v>1078</v>
      </c>
    </row>
    <row r="2062" spans="1:1">
      <c r="A2062" s="10" t="s">
        <v>460</v>
      </c>
    </row>
    <row r="2065" spans="1:1">
      <c r="A2065" s="1" t="s">
        <v>1193</v>
      </c>
    </row>
    <row r="2066" spans="1:1">
      <c r="A2066" s="1" t="s">
        <v>762</v>
      </c>
    </row>
    <row r="2067" spans="1:1">
      <c r="A2067" s="10" t="s">
        <v>90</v>
      </c>
    </row>
    <row r="2068" spans="1:1">
      <c r="A2068" s="10" t="s">
        <v>71</v>
      </c>
    </row>
    <row r="2069" spans="1:1">
      <c r="A2069" s="10" t="s">
        <v>91</v>
      </c>
    </row>
    <row r="2070" spans="1:1">
      <c r="A2070" s="10" t="s">
        <v>764</v>
      </c>
    </row>
    <row r="2071" spans="1:1">
      <c r="A2071" s="10" t="s">
        <v>92</v>
      </c>
    </row>
    <row r="2072" spans="1:1">
      <c r="A2072" s="10" t="s">
        <v>93</v>
      </c>
    </row>
    <row r="2073" spans="1:1">
      <c r="A2073" s="1" t="s">
        <v>1184</v>
      </c>
    </row>
    <row r="2074" spans="1:1">
      <c r="A2074" s="1" t="s">
        <v>1194</v>
      </c>
    </row>
    <row r="2077" spans="1:1">
      <c r="A2077" s="1" t="s">
        <v>704</v>
      </c>
    </row>
    <row r="2078" spans="1:1">
      <c r="A2078" s="10" t="s">
        <v>160</v>
      </c>
    </row>
    <row r="2079" spans="1:1">
      <c r="A2079" s="10" t="s">
        <v>162</v>
      </c>
    </row>
    <row r="2080" spans="1:1">
      <c r="A2080" s="10" t="s">
        <v>52</v>
      </c>
    </row>
    <row r="2081" spans="1:5">
      <c r="A2081" s="10" t="s">
        <v>456</v>
      </c>
    </row>
    <row r="2082" spans="1:5">
      <c r="A2082" s="10" t="s">
        <v>65</v>
      </c>
    </row>
    <row r="2085" spans="1:5">
      <c r="A2085" s="1" t="s">
        <v>1195</v>
      </c>
    </row>
    <row r="2086" spans="1:5">
      <c r="A2086" s="1" t="s">
        <v>1196</v>
      </c>
    </row>
    <row r="2087" spans="1:5">
      <c r="A2087" s="10" t="s">
        <v>1197</v>
      </c>
    </row>
    <row r="2088" spans="1:5">
      <c r="A2088" s="10" t="s">
        <v>1198</v>
      </c>
    </row>
    <row r="2089" spans="1:5">
      <c r="A2089" s="10" t="s">
        <v>1199</v>
      </c>
    </row>
    <row r="2090" spans="1:5">
      <c r="A2090" s="10" t="s">
        <v>1200</v>
      </c>
    </row>
    <row r="2091" spans="1:5">
      <c r="A2091" s="10" t="s">
        <v>1201</v>
      </c>
    </row>
    <row r="2092" spans="1:5">
      <c r="A2092" s="10" t="s">
        <v>1202</v>
      </c>
    </row>
    <row r="2095" spans="1:5" ht="15.75" thickBot="1">
      <c r="A2095" s="1" t="s">
        <v>1203</v>
      </c>
    </row>
    <row r="2096" spans="1:5" ht="15.75" thickBot="1">
      <c r="A2096" s="17" t="s">
        <v>156</v>
      </c>
      <c r="B2096" s="17" t="s">
        <v>40</v>
      </c>
      <c r="C2096" s="17" t="s">
        <v>41</v>
      </c>
      <c r="D2096" s="17" t="s">
        <v>1204</v>
      </c>
      <c r="E2096" s="17" t="s">
        <v>1205</v>
      </c>
    </row>
    <row r="2097" spans="1:5" ht="16.5" thickBot="1">
      <c r="A2097" s="17" t="s">
        <v>674</v>
      </c>
      <c r="B2097" s="32"/>
      <c r="C2097" s="32"/>
      <c r="D2097" s="32"/>
      <c r="E2097" s="32"/>
    </row>
    <row r="2098" spans="1:5" ht="16.5" thickBot="1">
      <c r="A2098" s="17" t="s">
        <v>695</v>
      </c>
      <c r="B2098" s="32"/>
      <c r="C2098" s="32"/>
      <c r="D2098" s="32"/>
      <c r="E2098" s="32"/>
    </row>
    <row r="2099" spans="1:5" ht="16.5" thickBot="1">
      <c r="A2099" s="17" t="s">
        <v>1206</v>
      </c>
      <c r="B2099" s="32"/>
      <c r="C2099" s="32"/>
      <c r="D2099" s="32"/>
      <c r="E2099" s="32"/>
    </row>
    <row r="2100" spans="1:5" ht="16.5" thickBot="1">
      <c r="A2100" s="17" t="s">
        <v>160</v>
      </c>
      <c r="B2100" s="32"/>
      <c r="C2100" s="32"/>
      <c r="D2100" s="32"/>
      <c r="E2100" s="32"/>
    </row>
    <row r="2101" spans="1:5" ht="16.5" thickBot="1">
      <c r="A2101" s="17" t="s">
        <v>162</v>
      </c>
      <c r="B2101" s="32"/>
      <c r="C2101" s="32"/>
      <c r="D2101" s="32"/>
      <c r="E2101" s="32"/>
    </row>
    <row r="2102" spans="1:5" ht="16.5" thickBot="1">
      <c r="A2102" s="17" t="s">
        <v>456</v>
      </c>
      <c r="B2102" s="32"/>
      <c r="C2102" s="32"/>
      <c r="D2102" s="32"/>
      <c r="E2102" s="32"/>
    </row>
    <row r="2103" spans="1:5" ht="16.5" thickBot="1">
      <c r="A2103" s="20" t="s">
        <v>52</v>
      </c>
      <c r="B2103" s="33"/>
      <c r="C2103" s="33"/>
      <c r="D2103" s="33"/>
      <c r="E2103" s="34"/>
    </row>
    <row r="2106" spans="1:5">
      <c r="A2106" s="1" t="s">
        <v>1207</v>
      </c>
    </row>
    <row r="2107" spans="1:5">
      <c r="A2107" s="1" t="s">
        <v>1208</v>
      </c>
    </row>
    <row r="2108" spans="1:5">
      <c r="A2108" s="1" t="s">
        <v>1209</v>
      </c>
    </row>
    <row r="2109" spans="1:5">
      <c r="A2109" s="1" t="s">
        <v>1210</v>
      </c>
    </row>
    <row r="2110" spans="1:5">
      <c r="A2110" s="1" t="s">
        <v>415</v>
      </c>
    </row>
    <row r="2111" spans="1:5">
      <c r="A2111" s="1" t="s">
        <v>1210</v>
      </c>
    </row>
    <row r="2112" spans="1:5">
      <c r="A2112" s="1" t="s">
        <v>1211</v>
      </c>
    </row>
    <row r="2113" spans="1:1">
      <c r="A2113" s="1" t="s">
        <v>1210</v>
      </c>
    </row>
    <row r="2114" spans="1:1">
      <c r="A2114" s="1" t="s">
        <v>1212</v>
      </c>
    </row>
    <row r="2115" spans="1:1">
      <c r="A2115" s="1" t="s">
        <v>1210</v>
      </c>
    </row>
    <row r="2116" spans="1:1">
      <c r="A2116" s="1" t="s">
        <v>949</v>
      </c>
    </row>
    <row r="2117" spans="1:1">
      <c r="A2117" s="1" t="s">
        <v>1210</v>
      </c>
    </row>
    <row r="2118" spans="1:1">
      <c r="A2118" s="1" t="s">
        <v>1213</v>
      </c>
    </row>
    <row r="2119" spans="1:1">
      <c r="A2119" s="1" t="s">
        <v>1210</v>
      </c>
    </row>
    <row r="2120" spans="1:1">
      <c r="A2120" s="1" t="s">
        <v>1214</v>
      </c>
    </row>
    <row r="2121" spans="1:1">
      <c r="A2121" s="1" t="s">
        <v>1210</v>
      </c>
    </row>
    <row r="2122" spans="1:1">
      <c r="A2122" s="1" t="s">
        <v>1215</v>
      </c>
    </row>
    <row r="2125" spans="1:1">
      <c r="A2125" s="1" t="s">
        <v>183</v>
      </c>
    </row>
    <row r="2126" spans="1:1">
      <c r="A2126" s="1" t="s">
        <v>1216</v>
      </c>
    </row>
    <row r="2127" spans="1:1">
      <c r="A2127" s="10" t="s">
        <v>1217</v>
      </c>
    </row>
    <row r="2128" spans="1:1">
      <c r="A2128" s="10" t="s">
        <v>1218</v>
      </c>
    </row>
    <row r="2129" spans="1:1">
      <c r="A2129" s="10" t="s">
        <v>1219</v>
      </c>
    </row>
    <row r="2130" spans="1:1">
      <c r="A2130" s="10" t="s">
        <v>1220</v>
      </c>
    </row>
    <row r="2131" spans="1:1">
      <c r="A2131" s="10" t="s">
        <v>1221</v>
      </c>
    </row>
    <row r="2132" spans="1:1">
      <c r="A2132" s="10" t="s">
        <v>1222</v>
      </c>
    </row>
    <row r="2133" spans="1:1">
      <c r="A2133" s="10" t="s">
        <v>1223</v>
      </c>
    </row>
    <row r="2134" spans="1:1">
      <c r="A2134" s="10" t="s">
        <v>1224</v>
      </c>
    </row>
    <row r="2137" spans="1:1">
      <c r="A2137" s="1" t="s">
        <v>1225</v>
      </c>
    </row>
    <row r="2138" spans="1:1" ht="17.25">
      <c r="A2138" s="8" t="s">
        <v>1226</v>
      </c>
    </row>
    <row r="2139" spans="1:1">
      <c r="A2139" s="1" t="s">
        <v>1227</v>
      </c>
    </row>
    <row r="2142" spans="1:1">
      <c r="A2142" s="1" t="s">
        <v>1228</v>
      </c>
    </row>
    <row r="2143" spans="1:1">
      <c r="A2143" s="10" t="s">
        <v>154</v>
      </c>
    </row>
    <row r="2144" spans="1:1">
      <c r="A2144" s="10" t="s">
        <v>1229</v>
      </c>
    </row>
    <row r="2145" spans="1:4">
      <c r="A2145" s="10" t="s">
        <v>1230</v>
      </c>
    </row>
    <row r="2146" spans="1:4">
      <c r="A2146" s="10" t="s">
        <v>1231</v>
      </c>
    </row>
    <row r="2147" spans="1:4">
      <c r="A2147" s="10" t="s">
        <v>1232</v>
      </c>
    </row>
    <row r="2150" spans="1:4">
      <c r="A2150" s="1" t="s">
        <v>1233</v>
      </c>
    </row>
    <row r="2151" spans="1:4">
      <c r="A2151" s="1" t="s">
        <v>1234</v>
      </c>
    </row>
    <row r="2152" spans="1:4" ht="18" thickBot="1">
      <c r="A2152" s="8" t="s">
        <v>1235</v>
      </c>
    </row>
    <row r="2153" spans="1:4" ht="15.75" thickBot="1">
      <c r="A2153" s="17" t="s">
        <v>156</v>
      </c>
      <c r="B2153" s="17" t="s">
        <v>80</v>
      </c>
      <c r="C2153" s="17" t="s">
        <v>82</v>
      </c>
      <c r="D2153" s="17" t="s">
        <v>85</v>
      </c>
    </row>
    <row r="2154" spans="1:4" ht="18" thickBot="1">
      <c r="A2154" s="17" t="s">
        <v>996</v>
      </c>
      <c r="B2154" s="28" t="s">
        <v>997</v>
      </c>
      <c r="C2154" s="28" t="s">
        <v>997</v>
      </c>
      <c r="D2154" s="28" t="s">
        <v>997</v>
      </c>
    </row>
    <row r="2155" spans="1:4" ht="18" thickBot="1">
      <c r="A2155" s="17" t="s">
        <v>61</v>
      </c>
      <c r="B2155" s="28" t="s">
        <v>997</v>
      </c>
      <c r="C2155" s="28" t="s">
        <v>997</v>
      </c>
      <c r="D2155" s="28" t="s">
        <v>997</v>
      </c>
    </row>
    <row r="2156" spans="1:4" ht="18" thickBot="1">
      <c r="A2156" s="17" t="s">
        <v>459</v>
      </c>
      <c r="B2156" s="28" t="s">
        <v>997</v>
      </c>
      <c r="C2156" s="28" t="s">
        <v>997</v>
      </c>
      <c r="D2156" s="28" t="s">
        <v>997</v>
      </c>
    </row>
    <row r="2157" spans="1:4" ht="18" thickBot="1">
      <c r="A2157" s="17" t="s">
        <v>66</v>
      </c>
      <c r="B2157" s="28" t="s">
        <v>997</v>
      </c>
      <c r="C2157" s="28" t="s">
        <v>997</v>
      </c>
      <c r="D2157" s="28" t="s">
        <v>997</v>
      </c>
    </row>
    <row r="2158" spans="1:4" ht="18" thickBot="1">
      <c r="A2158" s="17" t="s">
        <v>52</v>
      </c>
      <c r="B2158" s="28" t="s">
        <v>997</v>
      </c>
      <c r="C2158" s="28" t="s">
        <v>997</v>
      </c>
      <c r="D2158" s="28" t="s">
        <v>997</v>
      </c>
    </row>
    <row r="2159" spans="1:4" ht="18" thickBot="1">
      <c r="A2159" s="17" t="s">
        <v>456</v>
      </c>
      <c r="B2159" s="28" t="s">
        <v>997</v>
      </c>
      <c r="C2159" s="28" t="s">
        <v>997</v>
      </c>
      <c r="D2159" s="28" t="s">
        <v>997</v>
      </c>
    </row>
    <row r="2160" spans="1:4" ht="18" thickBot="1">
      <c r="A2160" s="17" t="s">
        <v>65</v>
      </c>
      <c r="B2160" s="28" t="s">
        <v>997</v>
      </c>
      <c r="C2160" s="28" t="s">
        <v>997</v>
      </c>
      <c r="D2160" s="28" t="s">
        <v>997</v>
      </c>
    </row>
    <row r="2161" spans="1:5" ht="18" thickBot="1">
      <c r="A2161" s="20" t="s">
        <v>458</v>
      </c>
      <c r="B2161" s="29" t="s">
        <v>997</v>
      </c>
      <c r="C2161" s="29" t="s">
        <v>997</v>
      </c>
      <c r="D2161" s="30" t="s">
        <v>997</v>
      </c>
    </row>
    <row r="2164" spans="1:5">
      <c r="A2164" s="1" t="s">
        <v>1236</v>
      </c>
    </row>
    <row r="2165" spans="1:5">
      <c r="A2165" s="10" t="s">
        <v>1237</v>
      </c>
    </row>
    <row r="2166" spans="1:5">
      <c r="A2166" s="13" t="s">
        <v>1238</v>
      </c>
    </row>
    <row r="2167" spans="1:5">
      <c r="A2167" s="10" t="s">
        <v>1239</v>
      </c>
    </row>
    <row r="2168" spans="1:5">
      <c r="A2168" s="13" t="s">
        <v>1240</v>
      </c>
    </row>
    <row r="2169" spans="1:5">
      <c r="A2169" s="10" t="s">
        <v>1241</v>
      </c>
    </row>
    <row r="2170" spans="1:5">
      <c r="A2170" s="13" t="s">
        <v>1242</v>
      </c>
    </row>
    <row r="2173" spans="1:5">
      <c r="A2173" s="1" t="s">
        <v>1243</v>
      </c>
    </row>
    <row r="2174" spans="1:5" ht="18" thickBot="1">
      <c r="A2174" s="8" t="s">
        <v>1244</v>
      </c>
    </row>
    <row r="2175" spans="1:5" ht="15.75" thickBot="1">
      <c r="A2175" s="17" t="s">
        <v>1039</v>
      </c>
      <c r="B2175" s="17">
        <v>1</v>
      </c>
      <c r="C2175" s="17">
        <v>2</v>
      </c>
      <c r="D2175" s="17">
        <v>3</v>
      </c>
      <c r="E2175" s="17">
        <v>4</v>
      </c>
    </row>
    <row r="2176" spans="1:5" ht="18" thickBot="1">
      <c r="A2176" s="17" t="s">
        <v>90</v>
      </c>
      <c r="B2176" s="28" t="s">
        <v>997</v>
      </c>
      <c r="C2176" s="28" t="s">
        <v>997</v>
      </c>
      <c r="D2176" s="28" t="s">
        <v>997</v>
      </c>
      <c r="E2176" s="28" t="s">
        <v>997</v>
      </c>
    </row>
    <row r="2177" spans="1:5" ht="18" thickBot="1">
      <c r="A2177" s="17" t="s">
        <v>71</v>
      </c>
      <c r="B2177" s="28" t="s">
        <v>997</v>
      </c>
      <c r="C2177" s="28" t="s">
        <v>997</v>
      </c>
      <c r="D2177" s="28" t="s">
        <v>997</v>
      </c>
      <c r="E2177" s="28" t="s">
        <v>997</v>
      </c>
    </row>
    <row r="2178" spans="1:5" ht="18" thickBot="1">
      <c r="A2178" s="17" t="s">
        <v>67</v>
      </c>
      <c r="B2178" s="28" t="s">
        <v>997</v>
      </c>
      <c r="C2178" s="28" t="s">
        <v>997</v>
      </c>
      <c r="D2178" s="28" t="s">
        <v>997</v>
      </c>
      <c r="E2178" s="28" t="s">
        <v>997</v>
      </c>
    </row>
    <row r="2179" spans="1:5" ht="18" thickBot="1">
      <c r="A2179" s="17" t="s">
        <v>91</v>
      </c>
      <c r="B2179" s="28" t="s">
        <v>997</v>
      </c>
      <c r="C2179" s="28" t="s">
        <v>997</v>
      </c>
      <c r="D2179" s="28" t="s">
        <v>997</v>
      </c>
      <c r="E2179" s="28" t="s">
        <v>997</v>
      </c>
    </row>
    <row r="2180" spans="1:5" ht="18" thickBot="1">
      <c r="A2180" s="17" t="s">
        <v>92</v>
      </c>
      <c r="B2180" s="28" t="s">
        <v>997</v>
      </c>
      <c r="C2180" s="28" t="s">
        <v>997</v>
      </c>
      <c r="D2180" s="28" t="s">
        <v>997</v>
      </c>
      <c r="E2180" s="28" t="s">
        <v>997</v>
      </c>
    </row>
    <row r="2181" spans="1:5" ht="18" thickBot="1">
      <c r="A2181" s="20" t="s">
        <v>93</v>
      </c>
      <c r="B2181" s="29" t="s">
        <v>997</v>
      </c>
      <c r="C2181" s="29" t="s">
        <v>997</v>
      </c>
      <c r="D2181" s="29" t="s">
        <v>997</v>
      </c>
      <c r="E2181" s="30" t="s">
        <v>997</v>
      </c>
    </row>
    <row r="2184" spans="1:5">
      <c r="A2184" s="1" t="s">
        <v>1245</v>
      </c>
    </row>
    <row r="2185" spans="1:5">
      <c r="A2185" s="10" t="s">
        <v>1246</v>
      </c>
    </row>
    <row r="2186" spans="1:5">
      <c r="A2186" s="13" t="s">
        <v>1247</v>
      </c>
    </row>
    <row r="2187" spans="1:5">
      <c r="A2187" s="10" t="s">
        <v>1248</v>
      </c>
    </row>
    <row r="2188" spans="1:5">
      <c r="A2188" s="13" t="s">
        <v>1249</v>
      </c>
    </row>
    <row r="2191" spans="1:5">
      <c r="A2191" s="1" t="s">
        <v>1250</v>
      </c>
    </row>
    <row r="2192" spans="1:5" ht="18" thickBot="1">
      <c r="A2192" s="8" t="s">
        <v>1251</v>
      </c>
    </row>
    <row r="2193" spans="1:4" ht="15.75" thickBot="1">
      <c r="A2193" s="17" t="s">
        <v>156</v>
      </c>
      <c r="B2193" s="17" t="s">
        <v>80</v>
      </c>
      <c r="C2193" s="17" t="s">
        <v>82</v>
      </c>
      <c r="D2193" s="17" t="s">
        <v>85</v>
      </c>
    </row>
    <row r="2194" spans="1:4" ht="18" thickBot="1">
      <c r="A2194" s="17" t="s">
        <v>996</v>
      </c>
      <c r="B2194" s="28" t="s">
        <v>997</v>
      </c>
      <c r="C2194" s="28" t="s">
        <v>997</v>
      </c>
      <c r="D2194" s="28" t="s">
        <v>997</v>
      </c>
    </row>
    <row r="2195" spans="1:4" ht="18" thickBot="1">
      <c r="A2195" s="17" t="s">
        <v>459</v>
      </c>
      <c r="B2195" s="28" t="s">
        <v>997</v>
      </c>
      <c r="C2195" s="28" t="s">
        <v>997</v>
      </c>
      <c r="D2195" s="28" t="s">
        <v>997</v>
      </c>
    </row>
    <row r="2196" spans="1:4" ht="18" thickBot="1">
      <c r="A2196" s="17" t="s">
        <v>52</v>
      </c>
      <c r="B2196" s="28" t="s">
        <v>997</v>
      </c>
      <c r="C2196" s="28" t="s">
        <v>997</v>
      </c>
      <c r="D2196" s="28" t="s">
        <v>997</v>
      </c>
    </row>
    <row r="2197" spans="1:4" ht="18" thickBot="1">
      <c r="A2197" s="17" t="s">
        <v>456</v>
      </c>
      <c r="B2197" s="28" t="s">
        <v>997</v>
      </c>
      <c r="C2197" s="28" t="s">
        <v>997</v>
      </c>
      <c r="D2197" s="28" t="s">
        <v>997</v>
      </c>
    </row>
    <row r="2198" spans="1:4" ht="18" thickBot="1">
      <c r="A2198" s="20" t="s">
        <v>65</v>
      </c>
      <c r="B2198" s="29" t="s">
        <v>997</v>
      </c>
      <c r="C2198" s="29" t="s">
        <v>997</v>
      </c>
      <c r="D2198" s="30" t="s">
        <v>997</v>
      </c>
    </row>
    <row r="2201" spans="1:4">
      <c r="A2201" s="1" t="s">
        <v>1252</v>
      </c>
    </row>
    <row r="2202" spans="1:4">
      <c r="A2202" s="10" t="s">
        <v>1253</v>
      </c>
    </row>
    <row r="2203" spans="1:4">
      <c r="A2203" s="13" t="s">
        <v>1254</v>
      </c>
    </row>
    <row r="2204" spans="1:4">
      <c r="A2204" s="10" t="s">
        <v>1255</v>
      </c>
    </row>
    <row r="2205" spans="1:4">
      <c r="A2205" s="13" t="s">
        <v>1256</v>
      </c>
    </row>
    <row r="2208" spans="1:4">
      <c r="A2208" s="1" t="s">
        <v>1257</v>
      </c>
    </row>
    <row r="2209" spans="1:2" ht="17.25">
      <c r="A2209" s="8" t="s">
        <v>1258</v>
      </c>
    </row>
    <row r="2210" spans="1:2" ht="15.75" thickBot="1">
      <c r="A2210" s="1" t="s">
        <v>1259</v>
      </c>
    </row>
    <row r="2211" spans="1:2" ht="15.75" thickBot="1">
      <c r="A2211" s="17" t="s">
        <v>1127</v>
      </c>
      <c r="B2211" s="17" t="s">
        <v>157</v>
      </c>
    </row>
    <row r="2212" spans="1:2" ht="15.75" thickBot="1">
      <c r="A2212" s="17" t="s">
        <v>80</v>
      </c>
      <c r="B2212" s="17">
        <v>1</v>
      </c>
    </row>
    <row r="2213" spans="1:2" ht="15.75" thickBot="1">
      <c r="A2213" s="17" t="s">
        <v>82</v>
      </c>
      <c r="B2213" s="17">
        <v>0.5</v>
      </c>
    </row>
    <row r="2214" spans="1:2" ht="15.75" thickBot="1">
      <c r="A2214" s="20" t="s">
        <v>85</v>
      </c>
      <c r="B2214" s="22">
        <v>0</v>
      </c>
    </row>
    <row r="2217" spans="1:2" ht="17.25">
      <c r="A2217" s="8" t="s">
        <v>1260</v>
      </c>
    </row>
    <row r="2218" spans="1:2" ht="17.25">
      <c r="A2218" s="1" t="s">
        <v>1261</v>
      </c>
    </row>
    <row r="2221" spans="1:2" ht="18" thickBot="1">
      <c r="A2221" s="8" t="s">
        <v>1262</v>
      </c>
    </row>
    <row r="2222" spans="1:2" ht="15.75" thickBot="1">
      <c r="A2222" s="17" t="s">
        <v>157</v>
      </c>
      <c r="B2222" s="17" t="s">
        <v>1263</v>
      </c>
    </row>
    <row r="2223" spans="1:2" ht="15.75" thickBot="1">
      <c r="A2223" s="17" t="s">
        <v>1121</v>
      </c>
      <c r="B2223" s="17" t="s">
        <v>1122</v>
      </c>
    </row>
    <row r="2224" spans="1:2" ht="15.75" thickBot="1">
      <c r="A2224" s="17">
        <f xml:space="preserve"> 50</f>
        <v>50</v>
      </c>
      <c r="B2224" s="17" t="s">
        <v>82</v>
      </c>
    </row>
    <row r="2225" spans="1:2" ht="15.75" thickBot="1">
      <c r="A2225" s="20" t="s">
        <v>1123</v>
      </c>
      <c r="B2225" s="22" t="s">
        <v>1124</v>
      </c>
    </row>
    <row r="2228" spans="1:2" ht="17.25">
      <c r="A2228" s="8" t="s">
        <v>1264</v>
      </c>
    </row>
    <row r="2229" spans="1:2">
      <c r="A2229" s="1" t="s">
        <v>1265</v>
      </c>
    </row>
    <row r="2230" spans="1:2">
      <c r="A2230" s="10" t="s">
        <v>160</v>
      </c>
    </row>
    <row r="2231" spans="1:2">
      <c r="A2231" s="10" t="s">
        <v>162</v>
      </c>
    </row>
    <row r="2232" spans="1:2">
      <c r="A2232" s="10" t="s">
        <v>456</v>
      </c>
    </row>
    <row r="2233" spans="1:2">
      <c r="A2233" s="10" t="s">
        <v>612</v>
      </c>
    </row>
    <row r="2234" spans="1:2">
      <c r="A2234" s="10" t="s">
        <v>65</v>
      </c>
    </row>
    <row r="2235" spans="1:2">
      <c r="A2235" s="10" t="s">
        <v>458</v>
      </c>
    </row>
    <row r="2236" spans="1:2">
      <c r="A2236" s="10" t="s">
        <v>1266</v>
      </c>
    </row>
    <row r="2239" spans="1:2" ht="17.25">
      <c r="A2239" s="8" t="s">
        <v>1267</v>
      </c>
    </row>
    <row r="2240" spans="1:2">
      <c r="A2240" s="1" t="s">
        <v>19</v>
      </c>
    </row>
    <row r="2241" spans="1:3" ht="17.25">
      <c r="A2241" s="1" t="s">
        <v>1268</v>
      </c>
    </row>
    <row r="2242" spans="1:3">
      <c r="A2242" s="1" t="s">
        <v>20</v>
      </c>
    </row>
    <row r="2243" spans="1:3" ht="17.25">
      <c r="A2243" s="1" t="s">
        <v>1269</v>
      </c>
    </row>
    <row r="2246" spans="1:3" ht="17.25">
      <c r="A2246" s="8" t="s">
        <v>1270</v>
      </c>
    </row>
    <row r="2247" spans="1:3" ht="17.25">
      <c r="A2247" s="1" t="s">
        <v>1271</v>
      </c>
    </row>
    <row r="2250" spans="1:3">
      <c r="A2250" s="1" t="s">
        <v>1272</v>
      </c>
    </row>
    <row r="2251" spans="1:3" ht="17.25">
      <c r="A2251" s="8" t="s">
        <v>1226</v>
      </c>
    </row>
    <row r="2252" spans="1:3">
      <c r="A2252" s="1" t="s">
        <v>1273</v>
      </c>
    </row>
    <row r="2255" spans="1:3" ht="18" thickBot="1">
      <c r="A2255" s="8" t="s">
        <v>1274</v>
      </c>
    </row>
    <row r="2256" spans="1:3" ht="15.75" thickBot="1">
      <c r="A2256" s="17" t="s">
        <v>69</v>
      </c>
      <c r="B2256" s="17" t="s">
        <v>1275</v>
      </c>
      <c r="C2256" s="17" t="s">
        <v>873</v>
      </c>
    </row>
    <row r="2257" spans="1:3" ht="18" thickBot="1">
      <c r="A2257" s="17" t="s">
        <v>1169</v>
      </c>
      <c r="B2257" s="17" t="s">
        <v>1004</v>
      </c>
      <c r="C2257" s="35" t="s">
        <v>1276</v>
      </c>
    </row>
    <row r="2258" spans="1:3" ht="18" thickBot="1">
      <c r="A2258" s="17" t="s">
        <v>1170</v>
      </c>
      <c r="B2258" s="17" t="s">
        <v>1040</v>
      </c>
      <c r="C2258" s="35" t="s">
        <v>1277</v>
      </c>
    </row>
    <row r="2259" spans="1:3" ht="18" thickBot="1">
      <c r="A2259" s="17">
        <v>50</v>
      </c>
      <c r="B2259" s="17" t="s">
        <v>82</v>
      </c>
      <c r="C2259" s="35" t="s">
        <v>1278</v>
      </c>
    </row>
    <row r="2260" spans="1:3" ht="18" thickBot="1">
      <c r="A2260" s="17" t="s">
        <v>1172</v>
      </c>
      <c r="B2260" s="17" t="s">
        <v>1002</v>
      </c>
      <c r="C2260" s="35" t="s">
        <v>1279</v>
      </c>
    </row>
    <row r="2261" spans="1:3" ht="18" thickBot="1">
      <c r="A2261" s="20" t="s">
        <v>1174</v>
      </c>
      <c r="B2261" s="25" t="s">
        <v>1001</v>
      </c>
      <c r="C2261" s="36" t="s">
        <v>1280</v>
      </c>
    </row>
    <row r="2264" spans="1:3" ht="18" thickBot="1">
      <c r="A2264" s="8" t="s">
        <v>1281</v>
      </c>
    </row>
    <row r="2265" spans="1:3" ht="15.75" thickBot="1">
      <c r="A2265" s="17" t="s">
        <v>69</v>
      </c>
      <c r="B2265" s="17" t="s">
        <v>1120</v>
      </c>
    </row>
    <row r="2266" spans="1:3" ht="15.75" thickBot="1">
      <c r="A2266" s="17" t="s">
        <v>1282</v>
      </c>
      <c r="B2266" s="17" t="s">
        <v>1283</v>
      </c>
    </row>
    <row r="2267" spans="1:3" ht="15.75" thickBot="1">
      <c r="A2267" s="17" t="s">
        <v>1284</v>
      </c>
      <c r="B2267" s="17" t="s">
        <v>1285</v>
      </c>
    </row>
    <row r="2268" spans="1:3" ht="15.75" thickBot="1">
      <c r="A2268" s="17" t="s">
        <v>1286</v>
      </c>
      <c r="B2268" s="17" t="s">
        <v>1287</v>
      </c>
    </row>
    <row r="2269" spans="1:3" ht="15.75" thickBot="1">
      <c r="A2269" s="20" t="s">
        <v>1288</v>
      </c>
      <c r="B2269" s="22" t="s">
        <v>1289</v>
      </c>
    </row>
    <row r="2272" spans="1:3" ht="17.25">
      <c r="A2272" s="8" t="s">
        <v>1290</v>
      </c>
    </row>
    <row r="2273" spans="1:2" ht="15.75" thickBot="1">
      <c r="A2273" s="1" t="s">
        <v>1291</v>
      </c>
    </row>
    <row r="2274" spans="1:2" ht="15.75" thickBot="1">
      <c r="A2274" s="17" t="s">
        <v>1292</v>
      </c>
      <c r="B2274" s="17" t="s">
        <v>1263</v>
      </c>
    </row>
    <row r="2275" spans="1:2" ht="15.75" thickBot="1">
      <c r="A2275" s="17">
        <v>1</v>
      </c>
      <c r="B2275" s="17" t="s">
        <v>1040</v>
      </c>
    </row>
    <row r="2276" spans="1:2" ht="15.75" thickBot="1">
      <c r="A2276" s="17">
        <v>2</v>
      </c>
      <c r="B2276" s="17" t="s">
        <v>984</v>
      </c>
    </row>
    <row r="2277" spans="1:2" ht="15.75" thickBot="1">
      <c r="A2277" s="17">
        <v>3</v>
      </c>
      <c r="B2277" s="17" t="s">
        <v>1293</v>
      </c>
    </row>
    <row r="2278" spans="1:2" ht="15.75" thickBot="1">
      <c r="A2278" s="20">
        <v>4</v>
      </c>
      <c r="B2278" s="22" t="s">
        <v>1294</v>
      </c>
    </row>
    <row r="2279" spans="1:2">
      <c r="A2279" s="1" t="s">
        <v>1295</v>
      </c>
    </row>
    <row r="2280" spans="1:2">
      <c r="A2280" s="1" t="s">
        <v>1296</v>
      </c>
    </row>
    <row r="2283" spans="1:2" ht="18" thickBot="1">
      <c r="A2283" s="8" t="s">
        <v>1297</v>
      </c>
    </row>
    <row r="2284" spans="1:2" ht="15.75" thickBot="1">
      <c r="A2284" s="17" t="s">
        <v>1298</v>
      </c>
      <c r="B2284" s="17" t="s">
        <v>69</v>
      </c>
    </row>
    <row r="2285" spans="1:2" ht="15.75" thickBot="1">
      <c r="A2285" s="17" t="s">
        <v>1299</v>
      </c>
      <c r="B2285" s="17">
        <v>100</v>
      </c>
    </row>
    <row r="2286" spans="1:2" ht="15.75" thickBot="1">
      <c r="A2286" s="17" t="s">
        <v>82</v>
      </c>
      <c r="B2286" s="17">
        <v>50</v>
      </c>
    </row>
    <row r="2287" spans="1:2" ht="15.75" thickBot="1">
      <c r="A2287" s="20" t="s">
        <v>1300</v>
      </c>
      <c r="B2287" s="22">
        <v>0</v>
      </c>
    </row>
    <row r="2290" spans="1:1">
      <c r="A2290" s="1" t="s">
        <v>1301</v>
      </c>
    </row>
    <row r="2291" spans="1:1">
      <c r="A2291" s="1" t="s">
        <v>1302</v>
      </c>
    </row>
    <row r="2292" spans="1:1">
      <c r="A2292" s="1" t="s">
        <v>1303</v>
      </c>
    </row>
    <row r="2293" spans="1:1">
      <c r="A2293" s="1" t="s">
        <v>1304</v>
      </c>
    </row>
    <row r="2294" spans="1:1">
      <c r="A2294" s="1" t="s">
        <v>1303</v>
      </c>
    </row>
    <row r="2295" spans="1:1">
      <c r="A2295" s="1" t="s">
        <v>1305</v>
      </c>
    </row>
    <row r="2296" spans="1:1">
      <c r="A2296" s="1" t="s">
        <v>1303</v>
      </c>
    </row>
    <row r="2297" spans="1:1">
      <c r="A2297" s="1" t="s">
        <v>1306</v>
      </c>
    </row>
    <row r="2298" spans="1:1">
      <c r="A2298" s="1" t="s">
        <v>1303</v>
      </c>
    </row>
    <row r="2299" spans="1:1">
      <c r="A2299" s="1" t="s">
        <v>1212</v>
      </c>
    </row>
    <row r="2300" spans="1:1">
      <c r="A2300" s="1" t="s">
        <v>1303</v>
      </c>
    </row>
    <row r="2301" spans="1:1">
      <c r="A2301" s="1" t="s">
        <v>641</v>
      </c>
    </row>
    <row r="2302" spans="1:1">
      <c r="A2302" s="1" t="s">
        <v>1303</v>
      </c>
    </row>
    <row r="2303" spans="1:1">
      <c r="A2303" s="1" t="s">
        <v>1307</v>
      </c>
    </row>
    <row r="2304" spans="1:1">
      <c r="A2304" s="1" t="s">
        <v>1303</v>
      </c>
    </row>
    <row r="2305" spans="1:1">
      <c r="A2305" s="1" t="s">
        <v>1308</v>
      </c>
    </row>
    <row r="2308" spans="1:1">
      <c r="A2308" s="1" t="s">
        <v>1309</v>
      </c>
    </row>
    <row r="2309" spans="1:1" ht="17.25">
      <c r="A2309" s="16" t="s">
        <v>1310</v>
      </c>
    </row>
    <row r="2310" spans="1:1" ht="17.25">
      <c r="A2310" s="16" t="s">
        <v>1311</v>
      </c>
    </row>
    <row r="2311" spans="1:1" ht="17.25">
      <c r="A2311" s="16" t="s">
        <v>1312</v>
      </c>
    </row>
    <row r="2312" spans="1:1" ht="17.25">
      <c r="A2312" s="16" t="s">
        <v>1313</v>
      </c>
    </row>
    <row r="2313" spans="1:1" ht="17.25">
      <c r="A2313" s="16" t="s">
        <v>1314</v>
      </c>
    </row>
    <row r="2314" spans="1:1" ht="17.25">
      <c r="A2314" s="16" t="s">
        <v>1315</v>
      </c>
    </row>
    <row r="2317" spans="1:1">
      <c r="A2317" s="1" t="s">
        <v>183</v>
      </c>
    </row>
    <row r="2318" spans="1:1">
      <c r="A2318" s="1" t="s">
        <v>1316</v>
      </c>
    </row>
    <row r="2319" spans="1:1">
      <c r="A2319" s="10" t="s">
        <v>1317</v>
      </c>
    </row>
    <row r="2320" spans="1:1">
      <c r="A2320" s="10" t="s">
        <v>1318</v>
      </c>
    </row>
    <row r="2321" spans="1:1">
      <c r="A2321" s="10" t="s">
        <v>1319</v>
      </c>
    </row>
    <row r="2322" spans="1:1" ht="17.25">
      <c r="A2322" s="16" t="s">
        <v>1320</v>
      </c>
    </row>
    <row r="2325" spans="1:1">
      <c r="A2325" s="1" t="s">
        <v>191</v>
      </c>
    </row>
    <row r="2326" spans="1:1">
      <c r="A2326" s="10" t="s">
        <v>1321</v>
      </c>
    </row>
    <row r="2327" spans="1:1">
      <c r="A2327" s="10" t="s">
        <v>1322</v>
      </c>
    </row>
    <row r="2328" spans="1:1">
      <c r="A2328" s="1" t="s">
        <v>1323</v>
      </c>
    </row>
    <row r="2329" spans="1:1">
      <c r="A2329" s="1" t="s">
        <v>1324</v>
      </c>
    </row>
    <row r="2330" spans="1:1">
      <c r="A2330" s="1" t="s">
        <v>1325</v>
      </c>
    </row>
    <row r="2331" spans="1:1">
      <c r="A2331" s="1" t="s">
        <v>1326</v>
      </c>
    </row>
    <row r="2332" spans="1:1">
      <c r="A2332" s="1" t="s">
        <v>1327</v>
      </c>
    </row>
    <row r="2333" spans="1:1">
      <c r="A2333" s="10" t="s">
        <v>1328</v>
      </c>
    </row>
    <row r="2334" spans="1:1">
      <c r="A2334" s="10" t="s">
        <v>1329</v>
      </c>
    </row>
    <row r="2335" spans="1:1">
      <c r="A2335" s="10" t="s">
        <v>1330</v>
      </c>
    </row>
    <row r="2336" spans="1:1">
      <c r="A2336" s="1" t="s">
        <v>1331</v>
      </c>
    </row>
    <row r="2339" spans="1:1">
      <c r="A2339" s="1" t="s">
        <v>1332</v>
      </c>
    </row>
    <row r="2340" spans="1:1">
      <c r="A2340" s="1" t="s">
        <v>1333</v>
      </c>
    </row>
    <row r="2341" spans="1:1">
      <c r="A2341" s="1" t="s">
        <v>1334</v>
      </c>
    </row>
    <row r="2342" spans="1:1">
      <c r="A2342" s="10" t="s">
        <v>1335</v>
      </c>
    </row>
    <row r="2343" spans="1:1">
      <c r="A2343" s="10" t="s">
        <v>1336</v>
      </c>
    </row>
    <row r="2344" spans="1:1">
      <c r="A2344" s="10" t="s">
        <v>1337</v>
      </c>
    </row>
    <row r="2345" spans="1:1">
      <c r="A2345" s="10" t="s">
        <v>1338</v>
      </c>
    </row>
    <row r="2346" spans="1:1">
      <c r="A2346" s="13" t="s">
        <v>1339</v>
      </c>
    </row>
    <row r="2347" spans="1:1">
      <c r="A2347" s="13" t="s">
        <v>1340</v>
      </c>
    </row>
    <row r="2348" spans="1:1">
      <c r="A2348" s="13" t="s">
        <v>1341</v>
      </c>
    </row>
    <row r="2349" spans="1:1">
      <c r="A2349" s="13" t="s">
        <v>1342</v>
      </c>
    </row>
    <row r="2350" spans="1:1">
      <c r="A2350" s="10" t="s">
        <v>1343</v>
      </c>
    </row>
    <row r="2351" spans="1:1">
      <c r="A2351" s="10" t="s">
        <v>1344</v>
      </c>
    </row>
    <row r="2354" spans="1:4">
      <c r="A2354" s="1" t="s">
        <v>1345</v>
      </c>
    </row>
    <row r="2355" spans="1:4" ht="15.75" thickBot="1">
      <c r="A2355" s="1" t="s">
        <v>1346</v>
      </c>
    </row>
    <row r="2356" spans="1:4" ht="15.75" thickBot="1">
      <c r="A2356" s="17" t="s">
        <v>156</v>
      </c>
      <c r="B2356" s="17" t="s">
        <v>80</v>
      </c>
      <c r="C2356" s="17" t="s">
        <v>82</v>
      </c>
      <c r="D2356" s="17" t="s">
        <v>85</v>
      </c>
    </row>
    <row r="2357" spans="1:4" ht="18" thickBot="1">
      <c r="A2357" s="17" t="s">
        <v>996</v>
      </c>
      <c r="B2357" s="28" t="s">
        <v>997</v>
      </c>
      <c r="C2357" s="28" t="s">
        <v>997</v>
      </c>
      <c r="D2357" s="28" t="s">
        <v>997</v>
      </c>
    </row>
    <row r="2358" spans="1:4" ht="18" thickBot="1">
      <c r="A2358" s="17" t="s">
        <v>61</v>
      </c>
      <c r="B2358" s="28" t="s">
        <v>997</v>
      </c>
      <c r="C2358" s="28" t="s">
        <v>997</v>
      </c>
      <c r="D2358" s="28" t="s">
        <v>997</v>
      </c>
    </row>
    <row r="2359" spans="1:4" ht="18" thickBot="1">
      <c r="A2359" s="17" t="s">
        <v>459</v>
      </c>
      <c r="B2359" s="28" t="s">
        <v>997</v>
      </c>
      <c r="C2359" s="28" t="s">
        <v>997</v>
      </c>
      <c r="D2359" s="28" t="s">
        <v>997</v>
      </c>
    </row>
    <row r="2360" spans="1:4" ht="18" thickBot="1">
      <c r="A2360" s="17" t="s">
        <v>66</v>
      </c>
      <c r="B2360" s="28" t="s">
        <v>997</v>
      </c>
      <c r="C2360" s="28" t="s">
        <v>997</v>
      </c>
      <c r="D2360" s="28" t="s">
        <v>997</v>
      </c>
    </row>
    <row r="2361" spans="1:4" ht="18" thickBot="1">
      <c r="A2361" s="17" t="s">
        <v>456</v>
      </c>
      <c r="B2361" s="28" t="s">
        <v>997</v>
      </c>
      <c r="C2361" s="28" t="s">
        <v>997</v>
      </c>
      <c r="D2361" s="28" t="s">
        <v>997</v>
      </c>
    </row>
    <row r="2362" spans="1:4" ht="18" thickBot="1">
      <c r="A2362" s="17" t="s">
        <v>52</v>
      </c>
      <c r="B2362" s="28" t="s">
        <v>997</v>
      </c>
      <c r="C2362" s="28" t="s">
        <v>997</v>
      </c>
      <c r="D2362" s="28" t="s">
        <v>997</v>
      </c>
    </row>
    <row r="2363" spans="1:4" ht="18" thickBot="1">
      <c r="A2363" s="17" t="s">
        <v>591</v>
      </c>
      <c r="B2363" s="28" t="s">
        <v>997</v>
      </c>
      <c r="C2363" s="28" t="s">
        <v>997</v>
      </c>
      <c r="D2363" s="28" t="s">
        <v>997</v>
      </c>
    </row>
    <row r="2364" spans="1:4" ht="18" thickBot="1">
      <c r="A2364" s="17" t="s">
        <v>458</v>
      </c>
      <c r="B2364" s="28" t="s">
        <v>997</v>
      </c>
      <c r="C2364" s="28" t="s">
        <v>997</v>
      </c>
      <c r="D2364" s="28" t="s">
        <v>997</v>
      </c>
    </row>
    <row r="2365" spans="1:4" ht="18" thickBot="1">
      <c r="A2365" s="17" t="s">
        <v>62</v>
      </c>
      <c r="B2365" s="28" t="s">
        <v>997</v>
      </c>
      <c r="C2365" s="28" t="s">
        <v>997</v>
      </c>
      <c r="D2365" s="28" t="s">
        <v>997</v>
      </c>
    </row>
    <row r="2366" spans="1:4" ht="18" thickBot="1">
      <c r="A2366" s="20" t="s">
        <v>457</v>
      </c>
      <c r="B2366" s="29" t="s">
        <v>997</v>
      </c>
      <c r="C2366" s="29" t="s">
        <v>997</v>
      </c>
      <c r="D2366" s="30" t="s">
        <v>997</v>
      </c>
    </row>
    <row r="2369" spans="1:5">
      <c r="A2369" s="1" t="s">
        <v>1347</v>
      </c>
    </row>
    <row r="2370" spans="1:5" ht="15.75" thickBot="1">
      <c r="A2370" s="1" t="s">
        <v>1348</v>
      </c>
    </row>
    <row r="2371" spans="1:5" ht="15.75" thickBot="1">
      <c r="A2371" s="17" t="s">
        <v>1039</v>
      </c>
      <c r="B2371" s="17" t="s">
        <v>1040</v>
      </c>
      <c r="C2371" s="17" t="s">
        <v>1003</v>
      </c>
      <c r="D2371" s="17" t="s">
        <v>1041</v>
      </c>
      <c r="E2371" s="17" t="s">
        <v>1042</v>
      </c>
    </row>
    <row r="2372" spans="1:5" ht="18" thickBot="1">
      <c r="A2372" s="17" t="s">
        <v>90</v>
      </c>
      <c r="B2372" s="28" t="s">
        <v>997</v>
      </c>
      <c r="C2372" s="28" t="s">
        <v>997</v>
      </c>
      <c r="D2372" s="28" t="s">
        <v>997</v>
      </c>
      <c r="E2372" s="28" t="s">
        <v>997</v>
      </c>
    </row>
    <row r="2373" spans="1:5" ht="18" thickBot="1">
      <c r="A2373" s="17" t="s">
        <v>71</v>
      </c>
      <c r="B2373" s="28" t="s">
        <v>997</v>
      </c>
      <c r="C2373" s="28" t="s">
        <v>997</v>
      </c>
      <c r="D2373" s="28" t="s">
        <v>997</v>
      </c>
      <c r="E2373" s="28" t="s">
        <v>997</v>
      </c>
    </row>
    <row r="2374" spans="1:5" ht="18" thickBot="1">
      <c r="A2374" s="17" t="s">
        <v>91</v>
      </c>
      <c r="B2374" s="28" t="s">
        <v>997</v>
      </c>
      <c r="C2374" s="28" t="s">
        <v>997</v>
      </c>
      <c r="D2374" s="28" t="s">
        <v>997</v>
      </c>
      <c r="E2374" s="28" t="s">
        <v>997</v>
      </c>
    </row>
    <row r="2375" spans="1:5" ht="18" thickBot="1">
      <c r="A2375" s="17" t="s">
        <v>67</v>
      </c>
      <c r="B2375" s="28" t="s">
        <v>997</v>
      </c>
      <c r="C2375" s="28" t="s">
        <v>997</v>
      </c>
      <c r="D2375" s="28" t="s">
        <v>997</v>
      </c>
      <c r="E2375" s="28" t="s">
        <v>997</v>
      </c>
    </row>
    <row r="2376" spans="1:5" ht="18" thickBot="1">
      <c r="A2376" s="17" t="s">
        <v>92</v>
      </c>
      <c r="B2376" s="28" t="s">
        <v>997</v>
      </c>
      <c r="C2376" s="28" t="s">
        <v>997</v>
      </c>
      <c r="D2376" s="28" t="s">
        <v>997</v>
      </c>
      <c r="E2376" s="28" t="s">
        <v>997</v>
      </c>
    </row>
    <row r="2377" spans="1:5" ht="18" thickBot="1">
      <c r="A2377" s="17" t="s">
        <v>93</v>
      </c>
      <c r="B2377" s="28" t="s">
        <v>997</v>
      </c>
      <c r="C2377" s="28" t="s">
        <v>997</v>
      </c>
      <c r="D2377" s="28" t="s">
        <v>997</v>
      </c>
      <c r="E2377" s="28" t="s">
        <v>997</v>
      </c>
    </row>
    <row r="2378" spans="1:5" ht="18" thickBot="1">
      <c r="A2378" s="17" t="s">
        <v>94</v>
      </c>
      <c r="B2378" s="28" t="s">
        <v>997</v>
      </c>
      <c r="C2378" s="28" t="s">
        <v>997</v>
      </c>
      <c r="D2378" s="28" t="s">
        <v>997</v>
      </c>
      <c r="E2378" s="28" t="s">
        <v>997</v>
      </c>
    </row>
    <row r="2379" spans="1:5" ht="18" thickBot="1">
      <c r="A2379" s="20" t="s">
        <v>473</v>
      </c>
      <c r="B2379" s="29" t="s">
        <v>997</v>
      </c>
      <c r="C2379" s="29" t="s">
        <v>997</v>
      </c>
      <c r="D2379" s="29" t="s">
        <v>997</v>
      </c>
      <c r="E2379" s="30" t="s">
        <v>997</v>
      </c>
    </row>
    <row r="2382" spans="1:5" ht="15.75" thickBot="1">
      <c r="A2382" s="1" t="s">
        <v>1349</v>
      </c>
    </row>
    <row r="2383" spans="1:5" ht="15.75" thickBot="1">
      <c r="A2383" s="17" t="s">
        <v>156</v>
      </c>
      <c r="B2383" s="17" t="s">
        <v>80</v>
      </c>
      <c r="C2383" s="17" t="s">
        <v>82</v>
      </c>
      <c r="D2383" s="17" t="s">
        <v>85</v>
      </c>
    </row>
    <row r="2384" spans="1:5" ht="18" thickBot="1">
      <c r="A2384" s="17" t="s">
        <v>996</v>
      </c>
      <c r="B2384" s="28" t="s">
        <v>997</v>
      </c>
      <c r="C2384" s="28" t="s">
        <v>997</v>
      </c>
      <c r="D2384" s="28" t="s">
        <v>997</v>
      </c>
    </row>
    <row r="2385" spans="1:4" ht="18" thickBot="1">
      <c r="A2385" s="17" t="s">
        <v>456</v>
      </c>
      <c r="B2385" s="28" t="s">
        <v>997</v>
      </c>
      <c r="C2385" s="28" t="s">
        <v>997</v>
      </c>
      <c r="D2385" s="28" t="s">
        <v>997</v>
      </c>
    </row>
    <row r="2386" spans="1:4" ht="18" thickBot="1">
      <c r="A2386" s="17" t="s">
        <v>52</v>
      </c>
      <c r="B2386" s="28" t="s">
        <v>997</v>
      </c>
      <c r="C2386" s="28" t="s">
        <v>997</v>
      </c>
      <c r="D2386" s="28" t="s">
        <v>997</v>
      </c>
    </row>
    <row r="2387" spans="1:4" ht="18" thickBot="1">
      <c r="A2387" s="17" t="s">
        <v>65</v>
      </c>
      <c r="B2387" s="28" t="s">
        <v>997</v>
      </c>
      <c r="C2387" s="28" t="s">
        <v>997</v>
      </c>
      <c r="D2387" s="28" t="s">
        <v>997</v>
      </c>
    </row>
    <row r="2388" spans="1:4" ht="18" thickBot="1">
      <c r="A2388" s="20" t="s">
        <v>62</v>
      </c>
      <c r="B2388" s="29" t="s">
        <v>997</v>
      </c>
      <c r="C2388" s="29" t="s">
        <v>997</v>
      </c>
      <c r="D2388" s="30" t="s">
        <v>997</v>
      </c>
    </row>
    <row r="2391" spans="1:4">
      <c r="A2391" s="1" t="s">
        <v>1350</v>
      </c>
    </row>
    <row r="2392" spans="1:4">
      <c r="A2392" s="10" t="s">
        <v>1351</v>
      </c>
    </row>
    <row r="2393" spans="1:4">
      <c r="A2393" s="13" t="s">
        <v>1064</v>
      </c>
    </row>
    <row r="2394" spans="1:4">
      <c r="A2394" s="13" t="s">
        <v>161</v>
      </c>
    </row>
    <row r="2395" spans="1:4">
      <c r="A2395" s="13" t="s">
        <v>984</v>
      </c>
    </row>
    <row r="2396" spans="1:4">
      <c r="A2396" s="13" t="s">
        <v>1047</v>
      </c>
    </row>
    <row r="2397" spans="1:4">
      <c r="A2397" s="13" t="s">
        <v>1065</v>
      </c>
    </row>
    <row r="2398" spans="1:4">
      <c r="A2398" s="10" t="s">
        <v>1352</v>
      </c>
    </row>
    <row r="2399" spans="1:4">
      <c r="A2399" s="13" t="s">
        <v>1001</v>
      </c>
    </row>
    <row r="2400" spans="1:4">
      <c r="A2400" s="13" t="s">
        <v>1002</v>
      </c>
    </row>
    <row r="2401" spans="1:1">
      <c r="A2401" s="13" t="s">
        <v>1003</v>
      </c>
    </row>
    <row r="2402" spans="1:1">
      <c r="A2402" s="13" t="s">
        <v>1004</v>
      </c>
    </row>
    <row r="2403" spans="1:1">
      <c r="A2403" s="13" t="s">
        <v>1005</v>
      </c>
    </row>
    <row r="2406" spans="1:1">
      <c r="A2406" s="1"/>
    </row>
    <row r="2407" spans="1:1">
      <c r="A2407" s="1"/>
    </row>
    <row r="2408" spans="1:1">
      <c r="A2408" s="1" t="s">
        <v>1257</v>
      </c>
    </row>
    <row r="2409" spans="1:1">
      <c r="A2409" s="1" t="s">
        <v>1353</v>
      </c>
    </row>
    <row r="2410" spans="1:1">
      <c r="A2410" s="1" t="s">
        <v>1354</v>
      </c>
    </row>
    <row r="2411" spans="1:1">
      <c r="A2411" s="1" t="s">
        <v>1116</v>
      </c>
    </row>
    <row r="2412" spans="1:1">
      <c r="A2412" s="10" t="s">
        <v>1355</v>
      </c>
    </row>
    <row r="2413" spans="1:1">
      <c r="A2413" s="10" t="s">
        <v>1356</v>
      </c>
    </row>
    <row r="2414" spans="1:1">
      <c r="A2414" s="10" t="s">
        <v>1357</v>
      </c>
    </row>
    <row r="2415" spans="1:1">
      <c r="A2415" s="1" t="s">
        <v>1358</v>
      </c>
    </row>
    <row r="2416" spans="1:1">
      <c r="A2416" s="1" t="s">
        <v>1117</v>
      </c>
    </row>
    <row r="2417" spans="1:2">
      <c r="A2417" s="1" t="s">
        <v>1118</v>
      </c>
    </row>
    <row r="2418" spans="1:2">
      <c r="A2418" s="1" t="s">
        <v>1119</v>
      </c>
    </row>
    <row r="2419" spans="1:2" ht="15.75" thickBot="1">
      <c r="A2419" s="1" t="s">
        <v>1074</v>
      </c>
    </row>
    <row r="2420" spans="1:2" ht="15.75" thickBot="1">
      <c r="A2420" s="17" t="s">
        <v>1127</v>
      </c>
      <c r="B2420" s="17" t="s">
        <v>1128</v>
      </c>
    </row>
    <row r="2421" spans="1:2" ht="15.75" thickBot="1">
      <c r="A2421" s="17" t="s">
        <v>80</v>
      </c>
      <c r="B2421" s="17">
        <v>30</v>
      </c>
    </row>
    <row r="2422" spans="1:2" ht="15.75" thickBot="1">
      <c r="A2422" s="17" t="s">
        <v>82</v>
      </c>
      <c r="B2422" s="17">
        <v>40</v>
      </c>
    </row>
    <row r="2423" spans="1:2" ht="15.75" thickBot="1">
      <c r="A2423" s="20" t="s">
        <v>85</v>
      </c>
      <c r="B2423" s="22">
        <v>30</v>
      </c>
    </row>
    <row r="2424" spans="1:2">
      <c r="A2424" s="1" t="s">
        <v>1359</v>
      </c>
    </row>
    <row r="2425" spans="1:2">
      <c r="A2425" s="1" t="s">
        <v>1360</v>
      </c>
    </row>
    <row r="2426" spans="1:2">
      <c r="A2426" s="1" t="s">
        <v>1361</v>
      </c>
    </row>
    <row r="2427" spans="1:2">
      <c r="A2427" s="1" t="s">
        <v>1362</v>
      </c>
    </row>
    <row r="2430" spans="1:2">
      <c r="A2430" s="1" t="s">
        <v>1142</v>
      </c>
    </row>
    <row r="2431" spans="1:2">
      <c r="A2431" s="1" t="s">
        <v>674</v>
      </c>
    </row>
    <row r="2432" spans="1:2">
      <c r="A2432" s="1" t="s">
        <v>1363</v>
      </c>
    </row>
    <row r="2433" spans="1:1">
      <c r="A2433" s="10" t="s">
        <v>160</v>
      </c>
    </row>
    <row r="2434" spans="1:1">
      <c r="A2434" s="10" t="s">
        <v>459</v>
      </c>
    </row>
    <row r="2435" spans="1:1">
      <c r="A2435" s="10" t="s">
        <v>456</v>
      </c>
    </row>
    <row r="2436" spans="1:1">
      <c r="A2436" s="10" t="s">
        <v>52</v>
      </c>
    </row>
    <row r="2437" spans="1:1">
      <c r="A2437" s="10" t="s">
        <v>457</v>
      </c>
    </row>
    <row r="2438" spans="1:1">
      <c r="A2438" s="10" t="s">
        <v>458</v>
      </c>
    </row>
    <row r="2439" spans="1:1">
      <c r="A2439" s="1" t="s">
        <v>1143</v>
      </c>
    </row>
    <row r="2440" spans="1:1">
      <c r="A2440" s="1" t="s">
        <v>1144</v>
      </c>
    </row>
    <row r="2441" spans="1:1">
      <c r="A2441" s="1" t="s">
        <v>695</v>
      </c>
    </row>
    <row r="2442" spans="1:1">
      <c r="A2442" s="1" t="s">
        <v>1145</v>
      </c>
    </row>
    <row r="2443" spans="1:1">
      <c r="A2443" s="1" t="s">
        <v>1146</v>
      </c>
    </row>
    <row r="2446" spans="1:1">
      <c r="A2446" s="1" t="s">
        <v>1364</v>
      </c>
    </row>
    <row r="2447" spans="1:1">
      <c r="A2447" s="1" t="s">
        <v>1365</v>
      </c>
    </row>
    <row r="2448" spans="1:1">
      <c r="A2448" s="1" t="s">
        <v>1366</v>
      </c>
    </row>
    <row r="2449" spans="1:2">
      <c r="A2449" s="1" t="s">
        <v>1367</v>
      </c>
    </row>
    <row r="2450" spans="1:2">
      <c r="A2450" s="10" t="s">
        <v>1368</v>
      </c>
    </row>
    <row r="2451" spans="1:2">
      <c r="A2451" s="10" t="s">
        <v>1369</v>
      </c>
    </row>
    <row r="2454" spans="1:2">
      <c r="A2454" s="1" t="s">
        <v>1370</v>
      </c>
    </row>
    <row r="2455" spans="1:2">
      <c r="A2455" s="1" t="s">
        <v>1371</v>
      </c>
    </row>
    <row r="2456" spans="1:2" ht="15.75" thickBot="1">
      <c r="A2456" s="1" t="s">
        <v>1372</v>
      </c>
    </row>
    <row r="2457" spans="1:2" ht="15.75" thickBot="1">
      <c r="A2457" s="17" t="s">
        <v>1127</v>
      </c>
      <c r="B2457" s="17" t="s">
        <v>69</v>
      </c>
    </row>
    <row r="2458" spans="1:2" ht="15.75" thickBot="1">
      <c r="A2458" s="17" t="s">
        <v>80</v>
      </c>
      <c r="B2458" s="17">
        <v>100</v>
      </c>
    </row>
    <row r="2459" spans="1:2" ht="15.75" thickBot="1">
      <c r="A2459" s="17" t="s">
        <v>82</v>
      </c>
      <c r="B2459" s="17">
        <v>50</v>
      </c>
    </row>
    <row r="2460" spans="1:2" ht="15.75" thickBot="1">
      <c r="A2460" s="20" t="s">
        <v>85</v>
      </c>
      <c r="B2460" s="22">
        <v>0</v>
      </c>
    </row>
    <row r="2461" spans="1:2" ht="15.75" thickBot="1">
      <c r="A2461" s="1" t="s">
        <v>1373</v>
      </c>
    </row>
    <row r="2462" spans="1:2" ht="15.75" thickBot="1">
      <c r="A2462" s="17" t="s">
        <v>1374</v>
      </c>
      <c r="B2462" s="17" t="s">
        <v>69</v>
      </c>
    </row>
    <row r="2463" spans="1:2" ht="15.75" thickBot="1">
      <c r="A2463" s="17" t="s">
        <v>1040</v>
      </c>
      <c r="B2463" s="17">
        <v>75</v>
      </c>
    </row>
    <row r="2464" spans="1:2" ht="15.75" thickBot="1">
      <c r="A2464" s="17" t="s">
        <v>1003</v>
      </c>
      <c r="B2464" s="17">
        <v>50</v>
      </c>
    </row>
    <row r="2465" spans="1:2" ht="15.75" thickBot="1">
      <c r="A2465" s="17" t="s">
        <v>1041</v>
      </c>
      <c r="B2465" s="17">
        <v>25</v>
      </c>
    </row>
    <row r="2466" spans="1:2" ht="15.75" thickBot="1">
      <c r="A2466" s="20" t="s">
        <v>1042</v>
      </c>
      <c r="B2466" s="22">
        <v>0</v>
      </c>
    </row>
    <row r="2467" spans="1:2" ht="15.75" thickBot="1">
      <c r="A2467" s="1" t="s">
        <v>1375</v>
      </c>
    </row>
    <row r="2468" spans="1:2" ht="15.75" thickBot="1">
      <c r="A2468" s="17" t="s">
        <v>1376</v>
      </c>
      <c r="B2468" s="17" t="s">
        <v>69</v>
      </c>
    </row>
    <row r="2469" spans="1:2" ht="15.75" thickBot="1">
      <c r="A2469" s="17" t="s">
        <v>1064</v>
      </c>
      <c r="B2469" s="17">
        <v>100</v>
      </c>
    </row>
    <row r="2470" spans="1:2" ht="15.75" thickBot="1">
      <c r="A2470" s="17" t="s">
        <v>161</v>
      </c>
      <c r="B2470" s="17">
        <v>75</v>
      </c>
    </row>
    <row r="2471" spans="1:2" ht="15.75" thickBot="1">
      <c r="A2471" s="17" t="s">
        <v>984</v>
      </c>
      <c r="B2471" s="17">
        <v>50</v>
      </c>
    </row>
    <row r="2472" spans="1:2" ht="15.75" thickBot="1">
      <c r="A2472" s="17" t="s">
        <v>1047</v>
      </c>
      <c r="B2472" s="17">
        <v>25</v>
      </c>
    </row>
    <row r="2473" spans="1:2" ht="15.75" thickBot="1">
      <c r="A2473" s="20" t="s">
        <v>1065</v>
      </c>
      <c r="B2473" s="22">
        <v>0</v>
      </c>
    </row>
    <row r="2476" spans="1:2" ht="15.75" thickBot="1">
      <c r="A2476" s="1" t="s">
        <v>1377</v>
      </c>
    </row>
    <row r="2477" spans="1:2" ht="15.75" thickBot="1">
      <c r="A2477" s="17" t="s">
        <v>50</v>
      </c>
      <c r="B2477" s="17" t="s">
        <v>1120</v>
      </c>
    </row>
    <row r="2478" spans="1:2" ht="15.75" thickBot="1">
      <c r="A2478" s="17" t="s">
        <v>1169</v>
      </c>
      <c r="B2478" s="17" t="s">
        <v>1378</v>
      </c>
    </row>
    <row r="2479" spans="1:2" ht="15.75" thickBot="1">
      <c r="A2479" s="17" t="s">
        <v>1170</v>
      </c>
      <c r="B2479" s="17" t="s">
        <v>1379</v>
      </c>
    </row>
    <row r="2480" spans="1:2" ht="15.75" thickBot="1">
      <c r="A2480" s="17">
        <v>50</v>
      </c>
      <c r="B2480" s="17" t="s">
        <v>615</v>
      </c>
    </row>
    <row r="2481" spans="1:2" ht="15.75" thickBot="1">
      <c r="A2481" s="17" t="s">
        <v>1172</v>
      </c>
      <c r="B2481" s="17" t="s">
        <v>1380</v>
      </c>
    </row>
    <row r="2482" spans="1:2" ht="15.75" thickBot="1">
      <c r="A2482" s="20" t="s">
        <v>1174</v>
      </c>
      <c r="B2482" s="22" t="s">
        <v>1175</v>
      </c>
    </row>
    <row r="2485" spans="1:2">
      <c r="A2485" s="1" t="s">
        <v>1381</v>
      </c>
    </row>
    <row r="2486" spans="1:2">
      <c r="A2486" s="1" t="s">
        <v>1382</v>
      </c>
    </row>
    <row r="2487" spans="1:2">
      <c r="A2487" s="1" t="s">
        <v>1209</v>
      </c>
    </row>
    <row r="2488" spans="1:2">
      <c r="A2488" s="1" t="s">
        <v>1210</v>
      </c>
    </row>
    <row r="2489" spans="1:2">
      <c r="A2489" s="1" t="s">
        <v>1383</v>
      </c>
    </row>
    <row r="2490" spans="1:2">
      <c r="A2490" s="1" t="s">
        <v>1210</v>
      </c>
    </row>
    <row r="2491" spans="1:2">
      <c r="A2491" s="1" t="s">
        <v>415</v>
      </c>
    </row>
    <row r="2492" spans="1:2">
      <c r="A2492" s="1" t="s">
        <v>1210</v>
      </c>
    </row>
    <row r="2493" spans="1:2">
      <c r="A2493" s="1" t="s">
        <v>1211</v>
      </c>
    </row>
    <row r="2494" spans="1:2">
      <c r="A2494" s="1" t="s">
        <v>1210</v>
      </c>
    </row>
    <row r="2495" spans="1:2">
      <c r="A2495" s="1" t="s">
        <v>1212</v>
      </c>
    </row>
    <row r="2496" spans="1:2">
      <c r="A2496" s="1" t="s">
        <v>1210</v>
      </c>
    </row>
    <row r="2497" spans="1:1">
      <c r="A2497" s="1" t="s">
        <v>1094</v>
      </c>
    </row>
    <row r="2498" spans="1:1">
      <c r="A2498" s="1" t="s">
        <v>1210</v>
      </c>
    </row>
    <row r="2499" spans="1:1">
      <c r="A2499" s="1" t="s">
        <v>1213</v>
      </c>
    </row>
    <row r="2500" spans="1:1">
      <c r="A2500" s="1" t="s">
        <v>1210</v>
      </c>
    </row>
    <row r="2501" spans="1:1">
      <c r="A2501" s="1" t="s">
        <v>1214</v>
      </c>
    </row>
    <row r="2502" spans="1:1">
      <c r="A2502" s="1" t="s">
        <v>1210</v>
      </c>
    </row>
    <row r="2503" spans="1:1">
      <c r="A2503" s="1" t="s">
        <v>1384</v>
      </c>
    </row>
    <row r="2506" spans="1:1">
      <c r="A2506" s="1" t="s">
        <v>1385</v>
      </c>
    </row>
    <row r="2507" spans="1:1">
      <c r="A2507" s="1" t="s">
        <v>19</v>
      </c>
    </row>
    <row r="2508" spans="1:1">
      <c r="A2508" s="10" t="s">
        <v>160</v>
      </c>
    </row>
    <row r="2509" spans="1:1">
      <c r="A2509" s="10" t="s">
        <v>459</v>
      </c>
    </row>
    <row r="2510" spans="1:1">
      <c r="A2510" s="10" t="s">
        <v>66</v>
      </c>
    </row>
    <row r="2511" spans="1:1">
      <c r="A2511" s="10" t="s">
        <v>456</v>
      </c>
    </row>
    <row r="2512" spans="1:1">
      <c r="A2512" s="10" t="s">
        <v>52</v>
      </c>
    </row>
    <row r="2513" spans="1:1">
      <c r="A2513" s="10" t="s">
        <v>457</v>
      </c>
    </row>
    <row r="2514" spans="1:1">
      <c r="A2514" s="10" t="s">
        <v>458</v>
      </c>
    </row>
    <row r="2515" spans="1:1">
      <c r="A2515" s="10" t="s">
        <v>1078</v>
      </c>
    </row>
    <row r="2516" spans="1:1">
      <c r="A2516" s="10" t="s">
        <v>460</v>
      </c>
    </row>
    <row r="2517" spans="1:1">
      <c r="A2517" s="1" t="s">
        <v>20</v>
      </c>
    </row>
    <row r="2518" spans="1:1">
      <c r="A2518" s="10" t="s">
        <v>162</v>
      </c>
    </row>
    <row r="2519" spans="1:1">
      <c r="A2519" s="10" t="s">
        <v>66</v>
      </c>
    </row>
    <row r="2520" spans="1:1">
      <c r="A2520" s="10" t="s">
        <v>62</v>
      </c>
    </row>
    <row r="2521" spans="1:1">
      <c r="A2521" s="10" t="s">
        <v>65</v>
      </c>
    </row>
    <row r="2522" spans="1:1">
      <c r="A2522" s="10" t="s">
        <v>456</v>
      </c>
    </row>
    <row r="2523" spans="1:1">
      <c r="A2523" s="10" t="s">
        <v>458</v>
      </c>
    </row>
    <row r="2524" spans="1:1">
      <c r="A2524" s="10" t="s">
        <v>1078</v>
      </c>
    </row>
    <row r="2525" spans="1:1">
      <c r="A2525" s="10" t="s">
        <v>460</v>
      </c>
    </row>
    <row r="2528" spans="1:1">
      <c r="A2528" s="1" t="s">
        <v>183</v>
      </c>
    </row>
    <row r="2529" spans="1:1">
      <c r="A2529" s="1" t="s">
        <v>1316</v>
      </c>
    </row>
    <row r="2530" spans="1:1">
      <c r="A2530" s="10" t="s">
        <v>1217</v>
      </c>
    </row>
    <row r="2531" spans="1:1">
      <c r="A2531" s="10" t="s">
        <v>1386</v>
      </c>
    </row>
    <row r="2532" spans="1:1">
      <c r="A2532" s="10" t="s">
        <v>1387</v>
      </c>
    </row>
    <row r="2533" spans="1:1" ht="17.25">
      <c r="A2533" s="16" t="s">
        <v>1388</v>
      </c>
    </row>
    <row r="2534" spans="1:1">
      <c r="A2534" s="1" t="s">
        <v>1323</v>
      </c>
    </row>
    <row r="2535" spans="1:1">
      <c r="A2535" s="1" t="s">
        <v>1389</v>
      </c>
    </row>
    <row r="2536" spans="1:1">
      <c r="A2536" s="1" t="s">
        <v>1390</v>
      </c>
    </row>
    <row r="2537" spans="1:1">
      <c r="A2537" s="1"/>
    </row>
    <row r="2538" spans="1:1">
      <c r="A2538" s="1"/>
    </row>
    <row r="2539" spans="1:1">
      <c r="A2539" s="1"/>
    </row>
    <row r="2540" spans="1:1">
      <c r="A2540" s="1"/>
    </row>
    <row r="2541" spans="1:1">
      <c r="A2541" s="1" t="s">
        <v>1391</v>
      </c>
    </row>
    <row r="2542" spans="1:1">
      <c r="A2542" s="1" t="s">
        <v>1392</v>
      </c>
    </row>
    <row r="2543" spans="1:1">
      <c r="A2543" s="10" t="s">
        <v>1106</v>
      </c>
    </row>
    <row r="2544" spans="1:1">
      <c r="A2544" s="10" t="s">
        <v>1107</v>
      </c>
    </row>
    <row r="2545" spans="1:1">
      <c r="A2545" s="10" t="s">
        <v>1108</v>
      </c>
    </row>
    <row r="2546" spans="1:1">
      <c r="A2546" s="1" t="s">
        <v>1109</v>
      </c>
    </row>
    <row r="2549" spans="1:1">
      <c r="A2549" s="1" t="s">
        <v>1110</v>
      </c>
    </row>
    <row r="2550" spans="1:1">
      <c r="A2550" s="1" t="s">
        <v>1111</v>
      </c>
    </row>
    <row r="2551" spans="1:1">
      <c r="A2551" s="1" t="s">
        <v>1393</v>
      </c>
    </row>
    <row r="2552" spans="1:1">
      <c r="A2552" s="1" t="s">
        <v>1113</v>
      </c>
    </row>
    <row r="2553" spans="1:1">
      <c r="A2553" s="10" t="s">
        <v>994</v>
      </c>
    </row>
    <row r="2554" spans="1:1">
      <c r="A2554" s="10" t="s">
        <v>767</v>
      </c>
    </row>
    <row r="2555" spans="1:1">
      <c r="A2555" s="10" t="s">
        <v>995</v>
      </c>
    </row>
    <row r="2556" spans="1:1">
      <c r="A2556" s="1" t="s">
        <v>1394</v>
      </c>
    </row>
    <row r="2559" spans="1:1">
      <c r="A2559" s="1" t="s">
        <v>1115</v>
      </c>
    </row>
    <row r="2560" spans="1:1">
      <c r="A2560" s="1" t="s">
        <v>1116</v>
      </c>
    </row>
    <row r="2561" spans="1:2">
      <c r="A2561" s="1" t="s">
        <v>1117</v>
      </c>
    </row>
    <row r="2562" spans="1:2">
      <c r="A2562" s="1" t="s">
        <v>1118</v>
      </c>
    </row>
    <row r="2563" spans="1:2">
      <c r="A2563" s="1" t="s">
        <v>1119</v>
      </c>
    </row>
    <row r="2564" spans="1:2">
      <c r="A2564" s="1" t="s">
        <v>1120</v>
      </c>
    </row>
    <row r="2565" spans="1:2">
      <c r="A2565" s="6" t="s">
        <v>50</v>
      </c>
      <c r="B2565" s="6" t="s">
        <v>1120</v>
      </c>
    </row>
    <row r="2566" spans="1:2">
      <c r="A2566" s="6" t="s">
        <v>1121</v>
      </c>
      <c r="B2566" s="6" t="s">
        <v>1122</v>
      </c>
    </row>
    <row r="2567" spans="1:2">
      <c r="A2567" s="6">
        <f xml:space="preserve"> 50</f>
        <v>50</v>
      </c>
      <c r="B2567" s="6" t="s">
        <v>615</v>
      </c>
    </row>
    <row r="2568" spans="1:2">
      <c r="A2568" s="6" t="s">
        <v>1123</v>
      </c>
      <c r="B2568" s="6" t="s">
        <v>1124</v>
      </c>
    </row>
    <row r="2571" spans="1:2">
      <c r="A2571" s="1" t="s">
        <v>1125</v>
      </c>
    </row>
    <row r="2572" spans="1:2">
      <c r="A2572" s="1" t="s">
        <v>1126</v>
      </c>
    </row>
    <row r="2573" spans="1:2">
      <c r="A2573" s="6" t="s">
        <v>1127</v>
      </c>
      <c r="B2573" s="6" t="s">
        <v>1128</v>
      </c>
    </row>
    <row r="2574" spans="1:2">
      <c r="A2574" s="6" t="s">
        <v>80</v>
      </c>
      <c r="B2574" s="6">
        <v>40</v>
      </c>
    </row>
    <row r="2575" spans="1:2">
      <c r="A2575" s="6" t="s">
        <v>82</v>
      </c>
      <c r="B2575" s="6">
        <v>30</v>
      </c>
    </row>
    <row r="2576" spans="1:2">
      <c r="A2576" s="6" t="s">
        <v>85</v>
      </c>
      <c r="B2576" s="6">
        <v>30</v>
      </c>
    </row>
    <row r="2577" spans="1:1">
      <c r="A2577" s="1" t="s">
        <v>1129</v>
      </c>
    </row>
    <row r="2578" spans="1:1">
      <c r="A2578" s="1" t="s">
        <v>1130</v>
      </c>
    </row>
    <row r="2579" spans="1:1">
      <c r="A2579" s="1" t="s">
        <v>1131</v>
      </c>
    </row>
    <row r="2580" spans="1:1">
      <c r="A2580" s="1" t="s">
        <v>1132</v>
      </c>
    </row>
    <row r="2581" spans="1:1" ht="17.25">
      <c r="A2581" s="16" t="s">
        <v>1133</v>
      </c>
    </row>
    <row r="2584" spans="1:1">
      <c r="A2584" s="1" t="s">
        <v>1134</v>
      </c>
    </row>
    <row r="2585" spans="1:1">
      <c r="A2585" s="1" t="s">
        <v>1135</v>
      </c>
    </row>
    <row r="2586" spans="1:1">
      <c r="A2586" s="10" t="s">
        <v>1085</v>
      </c>
    </row>
    <row r="2587" spans="1:1">
      <c r="A2587" s="10" t="s">
        <v>1136</v>
      </c>
    </row>
    <row r="2588" spans="1:1">
      <c r="A2588" s="10" t="s">
        <v>1137</v>
      </c>
    </row>
    <row r="2589" spans="1:1">
      <c r="A2589" s="10" t="s">
        <v>1087</v>
      </c>
    </row>
    <row r="2590" spans="1:1">
      <c r="A2590" s="10" t="s">
        <v>1088</v>
      </c>
    </row>
    <row r="2591" spans="1:1">
      <c r="A2591" s="10" t="s">
        <v>1138</v>
      </c>
    </row>
    <row r="2592" spans="1:1">
      <c r="A2592" s="10" t="s">
        <v>1139</v>
      </c>
    </row>
    <row r="2593" spans="1:1">
      <c r="A2593" s="10" t="s">
        <v>1091</v>
      </c>
    </row>
    <row r="2594" spans="1:1">
      <c r="A2594" s="10" t="s">
        <v>1093</v>
      </c>
    </row>
    <row r="2595" spans="1:1">
      <c r="A2595" s="1" t="s">
        <v>1140</v>
      </c>
    </row>
    <row r="2596" spans="1:1">
      <c r="A2596" s="10" t="s">
        <v>1086</v>
      </c>
    </row>
    <row r="2597" spans="1:1">
      <c r="A2597" s="10" t="s">
        <v>1137</v>
      </c>
    </row>
    <row r="2598" spans="1:1">
      <c r="A2598" s="10" t="s">
        <v>1141</v>
      </c>
    </row>
    <row r="2599" spans="1:1">
      <c r="A2599" s="10" t="s">
        <v>1090</v>
      </c>
    </row>
    <row r="2600" spans="1:1">
      <c r="A2600" s="10" t="s">
        <v>1087</v>
      </c>
    </row>
    <row r="2601" spans="1:1">
      <c r="A2601" s="10" t="s">
        <v>1139</v>
      </c>
    </row>
    <row r="2602" spans="1:1">
      <c r="A2602" s="10" t="s">
        <v>1091</v>
      </c>
    </row>
    <row r="2603" spans="1:1">
      <c r="A2603" s="10" t="s">
        <v>1093</v>
      </c>
    </row>
    <row r="2606" spans="1:1">
      <c r="A2606" s="1" t="s">
        <v>1142</v>
      </c>
    </row>
    <row r="2607" spans="1:1">
      <c r="A2607" s="1" t="s">
        <v>674</v>
      </c>
    </row>
    <row r="2608" spans="1:1">
      <c r="A2608" s="1" t="s">
        <v>1143</v>
      </c>
    </row>
    <row r="2609" spans="1:1">
      <c r="A2609" s="1" t="s">
        <v>1144</v>
      </c>
    </row>
    <row r="2610" spans="1:1">
      <c r="A2610" s="1" t="s">
        <v>695</v>
      </c>
    </row>
    <row r="2611" spans="1:1">
      <c r="A2611" s="1" t="s">
        <v>1145</v>
      </c>
    </row>
    <row r="2612" spans="1:1">
      <c r="A2612" s="1" t="s">
        <v>1146</v>
      </c>
    </row>
    <row r="2615" spans="1:1">
      <c r="A2615" s="1" t="s">
        <v>1147</v>
      </c>
    </row>
    <row r="2616" spans="1:1">
      <c r="A2616" s="1" t="s">
        <v>1117</v>
      </c>
    </row>
    <row r="2617" spans="1:1">
      <c r="A2617" s="1" t="s">
        <v>1148</v>
      </c>
    </row>
    <row r="2618" spans="1:1">
      <c r="A2618" s="1" t="s">
        <v>1149</v>
      </c>
    </row>
    <row r="2619" spans="1:1">
      <c r="A2619" s="1" t="s">
        <v>1150</v>
      </c>
    </row>
    <row r="2620" spans="1:1">
      <c r="A2620" s="1" t="s">
        <v>1151</v>
      </c>
    </row>
    <row r="2623" spans="1:1">
      <c r="A2623" s="1" t="s">
        <v>1152</v>
      </c>
    </row>
    <row r="2624" spans="1:1">
      <c r="A2624" s="1" t="s">
        <v>1153</v>
      </c>
    </row>
    <row r="2625" spans="1:2">
      <c r="A2625" s="10" t="s">
        <v>1154</v>
      </c>
    </row>
    <row r="2626" spans="1:2">
      <c r="A2626" s="10" t="s">
        <v>1155</v>
      </c>
    </row>
    <row r="2627" spans="1:2">
      <c r="A2627" s="10" t="s">
        <v>1156</v>
      </c>
    </row>
    <row r="2628" spans="1:2">
      <c r="A2628" s="10" t="s">
        <v>61</v>
      </c>
    </row>
    <row r="2629" spans="1:2">
      <c r="A2629" s="1" t="s">
        <v>1157</v>
      </c>
    </row>
    <row r="2630" spans="1:2">
      <c r="A2630" s="6" t="s">
        <v>155</v>
      </c>
      <c r="B2630" s="6" t="s">
        <v>1158</v>
      </c>
    </row>
    <row r="2631" spans="1:2">
      <c r="A2631" s="6" t="s">
        <v>19</v>
      </c>
      <c r="B2631" s="19">
        <v>0.4</v>
      </c>
    </row>
    <row r="2632" spans="1:2">
      <c r="A2632" s="6" t="s">
        <v>20</v>
      </c>
      <c r="B2632" s="19">
        <v>0.6</v>
      </c>
    </row>
    <row r="2633" spans="1:2">
      <c r="A2633" s="1" t="s">
        <v>1159</v>
      </c>
    </row>
    <row r="2634" spans="1:2">
      <c r="A2634" s="10" t="s">
        <v>1160</v>
      </c>
    </row>
    <row r="2635" spans="1:2">
      <c r="A2635" s="10" t="s">
        <v>1161</v>
      </c>
    </row>
    <row r="2636" spans="1:2">
      <c r="A2636" s="10" t="s">
        <v>1162</v>
      </c>
    </row>
    <row r="2639" spans="1:2">
      <c r="A2639" s="1" t="s">
        <v>1163</v>
      </c>
    </row>
    <row r="2640" spans="1:2">
      <c r="A2640" s="6" t="s">
        <v>156</v>
      </c>
      <c r="B2640" s="6" t="s">
        <v>1164</v>
      </c>
    </row>
    <row r="2641" spans="1:2">
      <c r="A2641" s="6" t="s">
        <v>160</v>
      </c>
      <c r="B2641" s="19">
        <v>0.25</v>
      </c>
    </row>
    <row r="2642" spans="1:2">
      <c r="A2642" s="6" t="s">
        <v>459</v>
      </c>
      <c r="B2642" s="19">
        <v>0.15</v>
      </c>
    </row>
    <row r="2643" spans="1:2">
      <c r="A2643" s="6" t="s">
        <v>456</v>
      </c>
      <c r="B2643" s="19">
        <v>0.15</v>
      </c>
    </row>
    <row r="2644" spans="1:2">
      <c r="A2644" s="6" t="s">
        <v>52</v>
      </c>
      <c r="B2644" s="19">
        <v>0.15</v>
      </c>
    </row>
    <row r="2645" spans="1:2">
      <c r="A2645" s="6" t="s">
        <v>457</v>
      </c>
      <c r="B2645" s="19">
        <v>0.15</v>
      </c>
    </row>
    <row r="2646" spans="1:2">
      <c r="A2646" s="6" t="s">
        <v>458</v>
      </c>
      <c r="B2646" s="19">
        <v>0.15</v>
      </c>
    </row>
    <row r="2649" spans="1:2">
      <c r="A2649" s="1" t="s">
        <v>1165</v>
      </c>
    </row>
    <row r="2650" spans="1:2">
      <c r="A2650" s="6" t="s">
        <v>156</v>
      </c>
      <c r="B2650" s="6" t="s">
        <v>1164</v>
      </c>
    </row>
    <row r="2651" spans="1:2">
      <c r="A2651" s="6" t="s">
        <v>162</v>
      </c>
      <c r="B2651" s="19">
        <v>0.3</v>
      </c>
    </row>
    <row r="2652" spans="1:2">
      <c r="A2652" s="6" t="s">
        <v>66</v>
      </c>
      <c r="B2652" s="19">
        <v>0.1</v>
      </c>
    </row>
    <row r="2653" spans="1:2">
      <c r="A2653" s="6" t="s">
        <v>62</v>
      </c>
      <c r="B2653" s="19">
        <v>0.15</v>
      </c>
    </row>
    <row r="2654" spans="1:2">
      <c r="A2654" s="6" t="s">
        <v>65</v>
      </c>
      <c r="B2654" s="19">
        <v>0.15</v>
      </c>
    </row>
    <row r="2655" spans="1:2">
      <c r="A2655" s="6" t="s">
        <v>456</v>
      </c>
      <c r="B2655" s="19">
        <v>0.15</v>
      </c>
    </row>
    <row r="2656" spans="1:2">
      <c r="A2656" s="6" t="s">
        <v>458</v>
      </c>
      <c r="B2656" s="19">
        <v>0.15</v>
      </c>
    </row>
    <row r="2659" spans="1:2">
      <c r="A2659" s="1" t="s">
        <v>1166</v>
      </c>
    </row>
    <row r="2660" spans="1:2">
      <c r="A2660" s="6" t="s">
        <v>1167</v>
      </c>
      <c r="B2660" s="6" t="s">
        <v>1168</v>
      </c>
    </row>
    <row r="2661" spans="1:2">
      <c r="A2661" s="6" t="s">
        <v>1169</v>
      </c>
      <c r="B2661" s="6" t="s">
        <v>1047</v>
      </c>
    </row>
    <row r="2662" spans="1:2">
      <c r="A2662" s="6" t="s">
        <v>1170</v>
      </c>
      <c r="B2662" s="6" t="s">
        <v>1171</v>
      </c>
    </row>
    <row r="2663" spans="1:2">
      <c r="A2663" s="6">
        <v>50</v>
      </c>
      <c r="B2663" s="6" t="s">
        <v>82</v>
      </c>
    </row>
    <row r="2664" spans="1:2">
      <c r="A2664" s="6" t="s">
        <v>1172</v>
      </c>
      <c r="B2664" s="6" t="s">
        <v>1173</v>
      </c>
    </row>
    <row r="2665" spans="1:2">
      <c r="A2665" s="6" t="s">
        <v>1174</v>
      </c>
      <c r="B2665" s="6" t="s">
        <v>1175</v>
      </c>
    </row>
    <row r="2668" spans="1:2">
      <c r="A2668" s="1" t="s">
        <v>1176</v>
      </c>
    </row>
    <row r="2669" spans="1:2">
      <c r="A2669" s="1" t="s">
        <v>1177</v>
      </c>
    </row>
    <row r="2670" spans="1:2">
      <c r="A2670" s="1" t="s">
        <v>1178</v>
      </c>
    </row>
    <row r="2671" spans="1:2">
      <c r="A2671" s="1" t="s">
        <v>1179</v>
      </c>
    </row>
    <row r="2672" spans="1:2">
      <c r="A2672" s="10" t="s">
        <v>1180</v>
      </c>
    </row>
    <row r="2673" spans="1:1">
      <c r="A2673" s="10" t="s">
        <v>949</v>
      </c>
    </row>
    <row r="2674" spans="1:1">
      <c r="A2674" s="10" t="s">
        <v>1181</v>
      </c>
    </row>
    <row r="2675" spans="1:1">
      <c r="A2675" s="10" t="s">
        <v>1182</v>
      </c>
    </row>
    <row r="2676" spans="1:1">
      <c r="A2676" s="10" t="s">
        <v>460</v>
      </c>
    </row>
    <row r="2679" spans="1:1">
      <c r="A2679" s="1" t="s">
        <v>1183</v>
      </c>
    </row>
    <row r="2680" spans="1:1">
      <c r="A2680" s="1" t="s">
        <v>1184</v>
      </c>
    </row>
    <row r="2681" spans="1:1">
      <c r="A2681" s="10" t="s">
        <v>1185</v>
      </c>
    </row>
    <row r="2682" spans="1:1">
      <c r="A2682" s="10" t="s">
        <v>1186</v>
      </c>
    </row>
    <row r="2683" spans="1:1">
      <c r="A2683" s="10" t="s">
        <v>381</v>
      </c>
    </row>
    <row r="2684" spans="1:1">
      <c r="A2684" s="10" t="s">
        <v>52</v>
      </c>
    </row>
    <row r="2685" spans="1:1">
      <c r="A2685" s="10" t="s">
        <v>456</v>
      </c>
    </row>
    <row r="2688" spans="1:1">
      <c r="A2688" s="1" t="s">
        <v>1187</v>
      </c>
    </row>
    <row r="2689" spans="1:1">
      <c r="A2689" s="1" t="s">
        <v>1188</v>
      </c>
    </row>
    <row r="2690" spans="1:1">
      <c r="A2690" s="10" t="s">
        <v>160</v>
      </c>
    </row>
    <row r="2691" spans="1:1">
      <c r="A2691" s="10" t="s">
        <v>459</v>
      </c>
    </row>
    <row r="2692" spans="1:1">
      <c r="A2692" s="10" t="s">
        <v>66</v>
      </c>
    </row>
    <row r="2693" spans="1:1">
      <c r="A2693" s="10" t="s">
        <v>456</v>
      </c>
    </row>
    <row r="2694" spans="1:1">
      <c r="A2694" s="10" t="s">
        <v>52</v>
      </c>
    </row>
    <row r="2695" spans="1:1">
      <c r="A2695" s="10" t="s">
        <v>457</v>
      </c>
    </row>
    <row r="2696" spans="1:1">
      <c r="A2696" s="10" t="s">
        <v>1078</v>
      </c>
    </row>
    <row r="2697" spans="1:1">
      <c r="A2697" s="10" t="s">
        <v>460</v>
      </c>
    </row>
    <row r="2698" spans="1:1">
      <c r="A2698" s="1" t="s">
        <v>1189</v>
      </c>
    </row>
    <row r="2699" spans="1:1">
      <c r="A2699" s="1" t="s">
        <v>1190</v>
      </c>
    </row>
    <row r="2700" spans="1:1">
      <c r="A2700" s="1" t="s">
        <v>1191</v>
      </c>
    </row>
    <row r="2703" spans="1:1">
      <c r="A2703" s="1" t="s">
        <v>1192</v>
      </c>
    </row>
    <row r="2704" spans="1:1">
      <c r="A2704" s="1" t="s">
        <v>1188</v>
      </c>
    </row>
    <row r="2705" spans="1:1">
      <c r="A2705" s="10" t="s">
        <v>162</v>
      </c>
    </row>
    <row r="2706" spans="1:1">
      <c r="A2706" s="10" t="s">
        <v>62</v>
      </c>
    </row>
    <row r="2707" spans="1:1">
      <c r="A2707" s="10" t="s">
        <v>66</v>
      </c>
    </row>
    <row r="2708" spans="1:1">
      <c r="A2708" s="10" t="s">
        <v>65</v>
      </c>
    </row>
    <row r="2709" spans="1:1">
      <c r="A2709" s="10" t="s">
        <v>456</v>
      </c>
    </row>
    <row r="2710" spans="1:1">
      <c r="A2710" s="10" t="s">
        <v>458</v>
      </c>
    </row>
    <row r="2711" spans="1:1">
      <c r="A2711" s="10" t="s">
        <v>1078</v>
      </c>
    </row>
    <row r="2712" spans="1:1">
      <c r="A2712" s="10" t="s">
        <v>460</v>
      </c>
    </row>
    <row r="2715" spans="1:1">
      <c r="A2715" s="1" t="s">
        <v>1193</v>
      </c>
    </row>
    <row r="2716" spans="1:1">
      <c r="A2716" s="1" t="s">
        <v>762</v>
      </c>
    </row>
    <row r="2717" spans="1:1">
      <c r="A2717" s="10" t="s">
        <v>90</v>
      </c>
    </row>
    <row r="2718" spans="1:1">
      <c r="A2718" s="10" t="s">
        <v>71</v>
      </c>
    </row>
    <row r="2719" spans="1:1">
      <c r="A2719" s="10" t="s">
        <v>91</v>
      </c>
    </row>
    <row r="2720" spans="1:1">
      <c r="A2720" s="10" t="s">
        <v>764</v>
      </c>
    </row>
    <row r="2721" spans="1:1">
      <c r="A2721" s="10" t="s">
        <v>92</v>
      </c>
    </row>
    <row r="2722" spans="1:1">
      <c r="A2722" s="10" t="s">
        <v>93</v>
      </c>
    </row>
    <row r="2723" spans="1:1">
      <c r="A2723" s="1" t="s">
        <v>1184</v>
      </c>
    </row>
    <row r="2724" spans="1:1">
      <c r="A2724" s="1" t="s">
        <v>1194</v>
      </c>
    </row>
    <row r="2727" spans="1:1">
      <c r="A2727" s="1" t="s">
        <v>704</v>
      </c>
    </row>
    <row r="2728" spans="1:1">
      <c r="A2728" s="10" t="s">
        <v>160</v>
      </c>
    </row>
    <row r="2729" spans="1:1">
      <c r="A2729" s="10" t="s">
        <v>162</v>
      </c>
    </row>
    <row r="2730" spans="1:1">
      <c r="A2730" s="10" t="s">
        <v>52</v>
      </c>
    </row>
    <row r="2731" spans="1:1">
      <c r="A2731" s="10" t="s">
        <v>456</v>
      </c>
    </row>
    <row r="2732" spans="1:1">
      <c r="A2732" s="10" t="s">
        <v>65</v>
      </c>
    </row>
    <row r="2735" spans="1:1">
      <c r="A2735" s="1" t="s">
        <v>1195</v>
      </c>
    </row>
    <row r="2736" spans="1:1">
      <c r="A2736" s="1" t="s">
        <v>1196</v>
      </c>
    </row>
    <row r="2737" spans="1:5">
      <c r="A2737" s="10" t="s">
        <v>1197</v>
      </c>
    </row>
    <row r="2738" spans="1:5">
      <c r="A2738" s="10" t="s">
        <v>1198</v>
      </c>
    </row>
    <row r="2739" spans="1:5">
      <c r="A2739" s="10" t="s">
        <v>1199</v>
      </c>
    </row>
    <row r="2740" spans="1:5">
      <c r="A2740" s="10" t="s">
        <v>1200</v>
      </c>
    </row>
    <row r="2741" spans="1:5">
      <c r="A2741" s="10" t="s">
        <v>1201</v>
      </c>
    </row>
    <row r="2742" spans="1:5">
      <c r="A2742" s="10" t="s">
        <v>1202</v>
      </c>
    </row>
    <row r="2745" spans="1:5">
      <c r="A2745" s="1" t="s">
        <v>1203</v>
      </c>
    </row>
    <row r="2746" spans="1:5">
      <c r="A2746" s="6" t="s">
        <v>156</v>
      </c>
      <c r="B2746" s="6" t="s">
        <v>40</v>
      </c>
      <c r="C2746" s="6" t="s">
        <v>41</v>
      </c>
      <c r="D2746" s="6" t="s">
        <v>1204</v>
      </c>
      <c r="E2746" s="6" t="s">
        <v>1205</v>
      </c>
    </row>
    <row r="2747" spans="1:5" ht="15.75">
      <c r="A2747" s="6" t="s">
        <v>674</v>
      </c>
      <c r="B2747" s="37"/>
      <c r="C2747" s="37"/>
      <c r="D2747" s="37"/>
      <c r="E2747" s="37"/>
    </row>
    <row r="2748" spans="1:5" ht="15.75">
      <c r="A2748" s="6" t="s">
        <v>695</v>
      </c>
      <c r="B2748" s="37"/>
      <c r="C2748" s="37"/>
      <c r="D2748" s="37"/>
      <c r="E2748" s="37"/>
    </row>
    <row r="2749" spans="1:5" ht="15.75">
      <c r="A2749" s="6" t="s">
        <v>1206</v>
      </c>
      <c r="B2749" s="37"/>
      <c r="C2749" s="37"/>
      <c r="D2749" s="37"/>
      <c r="E2749" s="37"/>
    </row>
    <row r="2750" spans="1:5" ht="15.75">
      <c r="A2750" s="6" t="s">
        <v>160</v>
      </c>
      <c r="B2750" s="37"/>
      <c r="C2750" s="37"/>
      <c r="D2750" s="37"/>
      <c r="E2750" s="37"/>
    </row>
    <row r="2751" spans="1:5" ht="15.75">
      <c r="A2751" s="6" t="s">
        <v>162</v>
      </c>
      <c r="B2751" s="37"/>
      <c r="C2751" s="37"/>
      <c r="D2751" s="37"/>
      <c r="E2751" s="37"/>
    </row>
    <row r="2752" spans="1:5" ht="15.75">
      <c r="A2752" s="6" t="s">
        <v>456</v>
      </c>
      <c r="B2752" s="37"/>
      <c r="C2752" s="37"/>
      <c r="D2752" s="37"/>
      <c r="E2752" s="37"/>
    </row>
    <row r="2753" spans="1:5" ht="15.75">
      <c r="A2753" s="6" t="s">
        <v>52</v>
      </c>
      <c r="B2753" s="37"/>
      <c r="C2753" s="37"/>
      <c r="D2753" s="37"/>
      <c r="E2753" s="37"/>
    </row>
    <row r="2756" spans="1:5">
      <c r="A2756" s="1" t="s">
        <v>1207</v>
      </c>
    </row>
    <row r="2757" spans="1:5">
      <c r="A2757" s="1" t="s">
        <v>1208</v>
      </c>
    </row>
    <row r="2758" spans="1:5">
      <c r="A2758" s="1" t="s">
        <v>1209</v>
      </c>
    </row>
    <row r="2759" spans="1:5">
      <c r="A2759" s="1" t="s">
        <v>1210</v>
      </c>
    </row>
    <row r="2760" spans="1:5">
      <c r="A2760" s="1" t="s">
        <v>415</v>
      </c>
    </row>
    <row r="2761" spans="1:5">
      <c r="A2761" s="1" t="s">
        <v>1210</v>
      </c>
    </row>
    <row r="2762" spans="1:5">
      <c r="A2762" s="1" t="s">
        <v>1211</v>
      </c>
    </row>
    <row r="2763" spans="1:5">
      <c r="A2763" s="1" t="s">
        <v>1210</v>
      </c>
    </row>
    <row r="2764" spans="1:5">
      <c r="A2764" s="1" t="s">
        <v>1212</v>
      </c>
    </row>
    <row r="2765" spans="1:5">
      <c r="A2765" s="1" t="s">
        <v>1210</v>
      </c>
    </row>
    <row r="2766" spans="1:5">
      <c r="A2766" s="1" t="s">
        <v>949</v>
      </c>
    </row>
    <row r="2767" spans="1:5">
      <c r="A2767" s="1" t="s">
        <v>1210</v>
      </c>
    </row>
    <row r="2768" spans="1:5">
      <c r="A2768" s="1" t="s">
        <v>1213</v>
      </c>
    </row>
    <row r="2769" spans="1:1">
      <c r="A2769" s="1" t="s">
        <v>1210</v>
      </c>
    </row>
    <row r="2770" spans="1:1">
      <c r="A2770" s="1" t="s">
        <v>1214</v>
      </c>
    </row>
    <row r="2771" spans="1:1">
      <c r="A2771" s="1" t="s">
        <v>1210</v>
      </c>
    </row>
    <row r="2772" spans="1:1">
      <c r="A2772" s="1" t="s">
        <v>1215</v>
      </c>
    </row>
    <row r="2775" spans="1:1">
      <c r="A2775" s="1" t="s">
        <v>183</v>
      </c>
    </row>
    <row r="2776" spans="1:1">
      <c r="A2776" s="1" t="s">
        <v>1395</v>
      </c>
    </row>
    <row r="2777" spans="1:1">
      <c r="A2777" s="10" t="s">
        <v>1217</v>
      </c>
    </row>
    <row r="2778" spans="1:1">
      <c r="A2778" s="10" t="s">
        <v>1218</v>
      </c>
    </row>
    <row r="2779" spans="1:1">
      <c r="A2779" s="10" t="s">
        <v>1219</v>
      </c>
    </row>
    <row r="2780" spans="1:1">
      <c r="A2780" s="10" t="s">
        <v>1220</v>
      </c>
    </row>
    <row r="2781" spans="1:1">
      <c r="A2781" s="10" t="s">
        <v>1221</v>
      </c>
    </row>
    <row r="2782" spans="1:1">
      <c r="A2782" s="10" t="s">
        <v>1222</v>
      </c>
    </row>
    <row r="2783" spans="1:1">
      <c r="A2783" s="10" t="s">
        <v>1223</v>
      </c>
    </row>
    <row r="2784" spans="1:1">
      <c r="A2784" s="10" t="s">
        <v>1224</v>
      </c>
    </row>
    <row r="2785" spans="1:1" ht="17.25">
      <c r="A2785" s="16" t="s">
        <v>1396</v>
      </c>
    </row>
    <row r="2786" spans="1:1">
      <c r="A2786" s="1"/>
    </row>
    <row r="2787" spans="1:1">
      <c r="A2787" s="1"/>
    </row>
    <row r="2788" spans="1:1">
      <c r="A2788" s="1"/>
    </row>
    <row r="2789" spans="1:1">
      <c r="A2789" s="1"/>
    </row>
    <row r="2790" spans="1:1">
      <c r="A2790" s="1"/>
    </row>
    <row r="2791" spans="1:1">
      <c r="A2791" s="1"/>
    </row>
    <row r="2792" spans="1:1">
      <c r="A2792" s="1"/>
    </row>
    <row r="2793" spans="1:1">
      <c r="A2793" s="1"/>
    </row>
    <row r="2794" spans="1:1">
      <c r="A2794" s="1"/>
    </row>
    <row r="2795" spans="1:1">
      <c r="A2795" s="1"/>
    </row>
    <row r="2796" spans="1:1">
      <c r="A2796" s="1"/>
    </row>
    <row r="2797" spans="1:1">
      <c r="A2797" s="1"/>
    </row>
    <row r="2798" spans="1:1">
      <c r="A2798" s="1"/>
    </row>
    <row r="2799" spans="1:1">
      <c r="A2799" s="1"/>
    </row>
    <row r="2800" spans="1:1">
      <c r="A2800" s="1"/>
    </row>
    <row r="2803" spans="1:1">
      <c r="A2803" s="1" t="s">
        <v>970</v>
      </c>
    </row>
    <row r="2804" spans="1:1" ht="17.25">
      <c r="A2804" s="2" t="s">
        <v>1397</v>
      </c>
    </row>
    <row r="2805" spans="1:1">
      <c r="A2805" s="1"/>
    </row>
    <row r="2806" spans="1:1">
      <c r="A2806" s="1" t="s">
        <v>196</v>
      </c>
    </row>
    <row r="2807" spans="1:1">
      <c r="A2807" s="1" t="s">
        <v>971</v>
      </c>
    </row>
    <row r="2808" spans="1:1" ht="17.25">
      <c r="A2808" s="5" t="s">
        <v>972</v>
      </c>
    </row>
    <row r="2809" spans="1:1" ht="17.25">
      <c r="A2809" s="5" t="s">
        <v>973</v>
      </c>
    </row>
    <row r="2810" spans="1:1" ht="17.25">
      <c r="A2810" s="38" t="s">
        <v>25</v>
      </c>
    </row>
    <row r="2811" spans="1:1" ht="17.25">
      <c r="A2811" s="38" t="s">
        <v>26</v>
      </c>
    </row>
    <row r="2812" spans="1:1" ht="17.25">
      <c r="A2812" s="38" t="s">
        <v>27</v>
      </c>
    </row>
    <row r="2813" spans="1:1" ht="17.25">
      <c r="A2813" s="38" t="s">
        <v>28</v>
      </c>
    </row>
    <row r="2814" spans="1:1" ht="17.25">
      <c r="A2814" s="38" t="s">
        <v>29</v>
      </c>
    </row>
    <row r="2815" spans="1:1" ht="17.25">
      <c r="A2815" s="38" t="s">
        <v>30</v>
      </c>
    </row>
    <row r="2816" spans="1:1" ht="17.25">
      <c r="A2816" s="38" t="s">
        <v>31</v>
      </c>
    </row>
    <row r="2817" spans="1:1" ht="17.25">
      <c r="A2817" s="38" t="s">
        <v>32</v>
      </c>
    </row>
    <row r="2818" spans="1:1" ht="17.25">
      <c r="A2818" s="5" t="s">
        <v>974</v>
      </c>
    </row>
    <row r="2819" spans="1:1" ht="17.25">
      <c r="A2819" s="38" t="s">
        <v>19</v>
      </c>
    </row>
    <row r="2820" spans="1:1" ht="17.25">
      <c r="A2820" s="38" t="s">
        <v>20</v>
      </c>
    </row>
    <row r="2821" spans="1:1" ht="17.25">
      <c r="A2821" s="5" t="s">
        <v>975</v>
      </c>
    </row>
    <row r="2822" spans="1:1" ht="17.25">
      <c r="A2822" s="38" t="s">
        <v>976</v>
      </c>
    </row>
    <row r="2823" spans="1:1" ht="17.25">
      <c r="A2823" s="38" t="s">
        <v>977</v>
      </c>
    </row>
    <row r="2824" spans="1:1" ht="17.25">
      <c r="A2824" s="38" t="s">
        <v>978</v>
      </c>
    </row>
    <row r="2825" spans="1:1" ht="17.25">
      <c r="A2825" s="38" t="s">
        <v>979</v>
      </c>
    </row>
    <row r="2826" spans="1:1" ht="17.25">
      <c r="A2826" s="38" t="s">
        <v>379</v>
      </c>
    </row>
    <row r="2827" spans="1:1" ht="17.25">
      <c r="A2827" s="38" t="s">
        <v>380</v>
      </c>
    </row>
    <row r="2828" spans="1:1" ht="17.25">
      <c r="A2828" s="38" t="s">
        <v>980</v>
      </c>
    </row>
    <row r="2829" spans="1:1" ht="17.25">
      <c r="A2829" s="5" t="s">
        <v>981</v>
      </c>
    </row>
    <row r="2830" spans="1:1" ht="17.25">
      <c r="A2830" s="38" t="s">
        <v>982</v>
      </c>
    </row>
    <row r="2831" spans="1:1" ht="17.25">
      <c r="A2831" s="38" t="s">
        <v>983</v>
      </c>
    </row>
    <row r="2832" spans="1:1" ht="17.25">
      <c r="A2832" s="38" t="s">
        <v>984</v>
      </c>
    </row>
    <row r="2833" spans="1:4" ht="17.25">
      <c r="A2833" s="38" t="s">
        <v>985</v>
      </c>
    </row>
    <row r="2834" spans="1:4" ht="17.25">
      <c r="A2834" s="5" t="s">
        <v>986</v>
      </c>
    </row>
    <row r="2835" spans="1:4" ht="17.25">
      <c r="A2835" s="38" t="s">
        <v>987</v>
      </c>
    </row>
    <row r="2836" spans="1:4" ht="17.25">
      <c r="A2836" s="38" t="s">
        <v>988</v>
      </c>
    </row>
    <row r="2837" spans="1:4" ht="17.25">
      <c r="A2837" s="38" t="s">
        <v>989</v>
      </c>
    </row>
    <row r="2838" spans="1:4" ht="17.25">
      <c r="A2838" s="38" t="s">
        <v>990</v>
      </c>
    </row>
    <row r="2841" spans="1:4">
      <c r="A2841" s="1" t="s">
        <v>991</v>
      </c>
    </row>
    <row r="2842" spans="1:4">
      <c r="A2842" s="1" t="s">
        <v>992</v>
      </c>
    </row>
    <row r="2843" spans="1:4" ht="17.25">
      <c r="A2843" s="2" t="s">
        <v>993</v>
      </c>
    </row>
    <row r="2844" spans="1:4" ht="17.25">
      <c r="A2844" s="5" t="s">
        <v>994</v>
      </c>
    </row>
    <row r="2845" spans="1:4" ht="17.25">
      <c r="A2845" s="5" t="s">
        <v>82</v>
      </c>
    </row>
    <row r="2846" spans="1:4" ht="17.25">
      <c r="A2846" s="5" t="s">
        <v>995</v>
      </c>
    </row>
    <row r="2847" spans="1:4">
      <c r="A2847" s="6" t="s">
        <v>156</v>
      </c>
      <c r="B2847" s="39" t="s">
        <v>80</v>
      </c>
      <c r="C2847" s="39" t="s">
        <v>82</v>
      </c>
      <c r="D2847" s="39" t="s">
        <v>85</v>
      </c>
    </row>
    <row r="2848" spans="1:4" ht="17.25">
      <c r="A2848" s="7" t="s">
        <v>996</v>
      </c>
      <c r="B2848" s="40" t="s">
        <v>997</v>
      </c>
      <c r="C2848" s="40" t="s">
        <v>997</v>
      </c>
      <c r="D2848" s="40" t="s">
        <v>997</v>
      </c>
    </row>
    <row r="2849" spans="1:4" ht="17.25">
      <c r="A2849" s="7" t="s">
        <v>61</v>
      </c>
      <c r="B2849" s="40" t="s">
        <v>997</v>
      </c>
      <c r="C2849" s="40" t="s">
        <v>997</v>
      </c>
      <c r="D2849" s="40" t="s">
        <v>997</v>
      </c>
    </row>
    <row r="2850" spans="1:4" ht="17.25">
      <c r="A2850" s="7" t="s">
        <v>459</v>
      </c>
      <c r="B2850" s="40" t="s">
        <v>997</v>
      </c>
      <c r="C2850" s="40" t="s">
        <v>997</v>
      </c>
      <c r="D2850" s="40" t="s">
        <v>997</v>
      </c>
    </row>
    <row r="2851" spans="1:4" ht="17.25">
      <c r="A2851" s="7" t="s">
        <v>66</v>
      </c>
      <c r="B2851" s="40" t="s">
        <v>997</v>
      </c>
      <c r="C2851" s="40" t="s">
        <v>997</v>
      </c>
      <c r="D2851" s="40" t="s">
        <v>997</v>
      </c>
    </row>
    <row r="2852" spans="1:4" ht="17.25">
      <c r="A2852" s="7" t="s">
        <v>52</v>
      </c>
      <c r="B2852" s="40" t="s">
        <v>997</v>
      </c>
      <c r="C2852" s="40" t="s">
        <v>997</v>
      </c>
      <c r="D2852" s="40" t="s">
        <v>997</v>
      </c>
    </row>
    <row r="2853" spans="1:4" ht="17.25">
      <c r="A2853" s="7" t="s">
        <v>456</v>
      </c>
      <c r="B2853" s="40" t="s">
        <v>997</v>
      </c>
      <c r="C2853" s="40" t="s">
        <v>997</v>
      </c>
      <c r="D2853" s="40" t="s">
        <v>997</v>
      </c>
    </row>
    <row r="2854" spans="1:4" ht="17.25">
      <c r="A2854" s="7" t="s">
        <v>591</v>
      </c>
      <c r="B2854" s="40" t="s">
        <v>997</v>
      </c>
      <c r="C2854" s="40" t="s">
        <v>997</v>
      </c>
      <c r="D2854" s="40" t="s">
        <v>997</v>
      </c>
    </row>
    <row r="2855" spans="1:4" ht="17.25">
      <c r="A2855" s="7" t="s">
        <v>458</v>
      </c>
      <c r="B2855" s="40" t="s">
        <v>997</v>
      </c>
      <c r="C2855" s="40" t="s">
        <v>997</v>
      </c>
      <c r="D2855" s="40" t="s">
        <v>997</v>
      </c>
    </row>
    <row r="2858" spans="1:4">
      <c r="A2858" s="1" t="s">
        <v>998</v>
      </c>
    </row>
    <row r="2859" spans="1:4">
      <c r="A2859" s="1" t="s">
        <v>999</v>
      </c>
    </row>
    <row r="2860" spans="1:4" ht="17.25">
      <c r="A2860" s="2" t="s">
        <v>1000</v>
      </c>
    </row>
    <row r="2861" spans="1:4" ht="17.25">
      <c r="A2861" s="5" t="s">
        <v>1001</v>
      </c>
    </row>
    <row r="2862" spans="1:4" ht="17.25">
      <c r="A2862" s="5" t="s">
        <v>1002</v>
      </c>
    </row>
    <row r="2863" spans="1:4" ht="17.25">
      <c r="A2863" s="5" t="s">
        <v>1003</v>
      </c>
    </row>
    <row r="2864" spans="1:4" ht="17.25">
      <c r="A2864" s="5" t="s">
        <v>1004</v>
      </c>
    </row>
    <row r="2865" spans="1:3" ht="17.25">
      <c r="A2865" s="5" t="s">
        <v>1005</v>
      </c>
    </row>
    <row r="2866" spans="1:3">
      <c r="A2866" s="1" t="s">
        <v>1006</v>
      </c>
    </row>
    <row r="2867" spans="1:3" ht="17.25">
      <c r="A2867" s="5" t="s">
        <v>1007</v>
      </c>
    </row>
    <row r="2868" spans="1:3" ht="17.25">
      <c r="A2868" s="5" t="s">
        <v>1008</v>
      </c>
    </row>
    <row r="2869" spans="1:3" ht="17.25">
      <c r="A2869" s="5" t="s">
        <v>1009</v>
      </c>
    </row>
    <row r="2870" spans="1:3" ht="17.25">
      <c r="A2870" s="5" t="s">
        <v>1010</v>
      </c>
    </row>
    <row r="2871" spans="1:3">
      <c r="A2871" s="1" t="s">
        <v>1011</v>
      </c>
    </row>
    <row r="2872" spans="1:3" ht="17.25">
      <c r="A2872" s="5" t="s">
        <v>1012</v>
      </c>
    </row>
    <row r="2873" spans="1:3" ht="17.25">
      <c r="A2873" s="5" t="s">
        <v>1013</v>
      </c>
    </row>
    <row r="2874" spans="1:3" ht="17.25">
      <c r="A2874" s="5" t="s">
        <v>1014</v>
      </c>
    </row>
    <row r="2877" spans="1:3">
      <c r="A2877" s="1" t="s">
        <v>1015</v>
      </c>
    </row>
    <row r="2878" spans="1:3" ht="17.25">
      <c r="A2878" s="2" t="s">
        <v>1016</v>
      </c>
    </row>
    <row r="2879" spans="1:3">
      <c r="A2879" s="6" t="s">
        <v>456</v>
      </c>
      <c r="B2879" s="39" t="s">
        <v>1017</v>
      </c>
      <c r="C2879" s="39" t="s">
        <v>1018</v>
      </c>
    </row>
    <row r="2880" spans="1:3" ht="17.25">
      <c r="A2880" s="7" t="s">
        <v>1019</v>
      </c>
      <c r="B2880" s="40" t="s">
        <v>997</v>
      </c>
      <c r="C2880" s="40" t="s">
        <v>997</v>
      </c>
    </row>
    <row r="2881" spans="1:3" ht="17.25">
      <c r="A2881" s="7" t="s">
        <v>1020</v>
      </c>
      <c r="B2881" s="40" t="s">
        <v>997</v>
      </c>
      <c r="C2881" s="40" t="s">
        <v>997</v>
      </c>
    </row>
    <row r="2882" spans="1:3" ht="17.25">
      <c r="A2882" s="7" t="s">
        <v>1021</v>
      </c>
      <c r="B2882" s="40" t="s">
        <v>997</v>
      </c>
      <c r="C2882" s="40" t="s">
        <v>997</v>
      </c>
    </row>
    <row r="2883" spans="1:3" ht="17.25">
      <c r="A2883" s="2" t="s">
        <v>1022</v>
      </c>
    </row>
    <row r="2884" spans="1:3" ht="17.25">
      <c r="A2884" s="5" t="s">
        <v>80</v>
      </c>
    </row>
    <row r="2885" spans="1:3" ht="17.25">
      <c r="A2885" s="5" t="s">
        <v>82</v>
      </c>
    </row>
    <row r="2886" spans="1:3" ht="17.25">
      <c r="A2886" s="5" t="s">
        <v>85</v>
      </c>
    </row>
    <row r="2889" spans="1:3">
      <c r="A2889" s="1" t="s">
        <v>1023</v>
      </c>
    </row>
    <row r="2890" spans="1:3" ht="17.25">
      <c r="A2890" s="2" t="s">
        <v>1016</v>
      </c>
    </row>
    <row r="2891" spans="1:3" ht="17.25">
      <c r="A2891" s="5" t="s">
        <v>1024</v>
      </c>
    </row>
    <row r="2892" spans="1:3" ht="17.25">
      <c r="A2892" s="38" t="s">
        <v>1017</v>
      </c>
    </row>
    <row r="2893" spans="1:3" ht="17.25">
      <c r="A2893" s="38" t="s">
        <v>1018</v>
      </c>
    </row>
    <row r="2894" spans="1:3" ht="17.25">
      <c r="A2894" s="2" t="s">
        <v>1025</v>
      </c>
    </row>
    <row r="2895" spans="1:3" ht="17.25">
      <c r="A2895" s="5" t="s">
        <v>1026</v>
      </c>
    </row>
    <row r="2896" spans="1:3" ht="17.25">
      <c r="A2896" s="5" t="s">
        <v>1027</v>
      </c>
    </row>
    <row r="2897" spans="1:4" ht="17.25">
      <c r="A2897" s="5" t="s">
        <v>1028</v>
      </c>
    </row>
    <row r="2898" spans="1:4" ht="17.25">
      <c r="A2898" s="5" t="s">
        <v>1029</v>
      </c>
    </row>
    <row r="2899" spans="1:4" ht="17.25">
      <c r="A2899" s="5" t="s">
        <v>1030</v>
      </c>
    </row>
    <row r="2900" spans="1:4" ht="17.25">
      <c r="A2900" s="2" t="s">
        <v>1031</v>
      </c>
    </row>
    <row r="2901" spans="1:4" ht="17.25">
      <c r="A2901" s="5" t="s">
        <v>1032</v>
      </c>
    </row>
    <row r="2902" spans="1:4" ht="17.25">
      <c r="A2902" s="5" t="s">
        <v>1033</v>
      </c>
    </row>
    <row r="2903" spans="1:4" ht="17.25">
      <c r="A2903" s="5" t="s">
        <v>1034</v>
      </c>
    </row>
    <row r="2906" spans="1:4">
      <c r="A2906" s="1" t="s">
        <v>1035</v>
      </c>
    </row>
    <row r="2907" spans="1:4">
      <c r="A2907" s="6" t="s">
        <v>156</v>
      </c>
      <c r="B2907" s="39" t="s">
        <v>80</v>
      </c>
      <c r="C2907" s="39" t="s">
        <v>82</v>
      </c>
      <c r="D2907" s="39" t="s">
        <v>85</v>
      </c>
    </row>
    <row r="2908" spans="1:4" ht="17.25">
      <c r="A2908" s="7" t="s">
        <v>62</v>
      </c>
      <c r="B2908" s="40" t="s">
        <v>997</v>
      </c>
      <c r="C2908" s="40" t="s">
        <v>997</v>
      </c>
      <c r="D2908" s="40" t="s">
        <v>997</v>
      </c>
    </row>
    <row r="2909" spans="1:4" ht="17.25">
      <c r="A2909" s="7" t="s">
        <v>457</v>
      </c>
      <c r="B2909" s="40" t="s">
        <v>997</v>
      </c>
      <c r="C2909" s="40" t="s">
        <v>997</v>
      </c>
      <c r="D2909" s="40" t="s">
        <v>997</v>
      </c>
    </row>
    <row r="2910" spans="1:4" ht="17.25">
      <c r="A2910" s="7" t="s">
        <v>1036</v>
      </c>
      <c r="B2910" s="40" t="s">
        <v>997</v>
      </c>
      <c r="C2910" s="40" t="s">
        <v>997</v>
      </c>
      <c r="D2910" s="40" t="s">
        <v>997</v>
      </c>
    </row>
    <row r="2911" spans="1:4" ht="17.25">
      <c r="A2911" s="7" t="s">
        <v>574</v>
      </c>
      <c r="B2911" s="40" t="s">
        <v>997</v>
      </c>
      <c r="C2911" s="40" t="s">
        <v>997</v>
      </c>
      <c r="D2911" s="40" t="s">
        <v>997</v>
      </c>
    </row>
    <row r="2914" spans="1:5">
      <c r="A2914" s="1"/>
    </row>
    <row r="2915" spans="1:5">
      <c r="A2915" s="1" t="s">
        <v>1037</v>
      </c>
    </row>
    <row r="2916" spans="1:5">
      <c r="A2916" s="1" t="s">
        <v>1038</v>
      </c>
    </row>
    <row r="2917" spans="1:5">
      <c r="A2917" s="6" t="s">
        <v>1039</v>
      </c>
      <c r="B2917" s="39" t="s">
        <v>1040</v>
      </c>
      <c r="C2917" s="39" t="s">
        <v>1003</v>
      </c>
      <c r="D2917" s="39" t="s">
        <v>1041</v>
      </c>
      <c r="E2917" s="39" t="s">
        <v>1042</v>
      </c>
    </row>
    <row r="2918" spans="1:5" ht="17.25">
      <c r="A2918" s="7" t="s">
        <v>90</v>
      </c>
      <c r="B2918" s="40" t="s">
        <v>997</v>
      </c>
      <c r="C2918" s="40" t="s">
        <v>997</v>
      </c>
      <c r="D2918" s="40" t="s">
        <v>997</v>
      </c>
      <c r="E2918" s="40" t="s">
        <v>997</v>
      </c>
    </row>
    <row r="2919" spans="1:5" ht="17.25">
      <c r="A2919" s="7" t="s">
        <v>71</v>
      </c>
      <c r="B2919" s="40" t="s">
        <v>997</v>
      </c>
      <c r="C2919" s="40" t="s">
        <v>997</v>
      </c>
      <c r="D2919" s="40" t="s">
        <v>997</v>
      </c>
      <c r="E2919" s="40" t="s">
        <v>997</v>
      </c>
    </row>
    <row r="2920" spans="1:5" ht="17.25">
      <c r="A2920" s="7" t="s">
        <v>67</v>
      </c>
      <c r="B2920" s="40" t="s">
        <v>997</v>
      </c>
      <c r="C2920" s="40" t="s">
        <v>997</v>
      </c>
      <c r="D2920" s="40" t="s">
        <v>997</v>
      </c>
      <c r="E2920" s="40" t="s">
        <v>997</v>
      </c>
    </row>
    <row r="2921" spans="1:5" ht="17.25">
      <c r="A2921" s="7" t="s">
        <v>91</v>
      </c>
      <c r="B2921" s="40" t="s">
        <v>997</v>
      </c>
      <c r="C2921" s="40" t="s">
        <v>997</v>
      </c>
      <c r="D2921" s="40" t="s">
        <v>997</v>
      </c>
      <c r="E2921" s="40" t="s">
        <v>997</v>
      </c>
    </row>
    <row r="2922" spans="1:5" ht="17.25">
      <c r="A2922" s="7" t="s">
        <v>92</v>
      </c>
      <c r="B2922" s="40" t="s">
        <v>997</v>
      </c>
      <c r="C2922" s="40" t="s">
        <v>997</v>
      </c>
      <c r="D2922" s="40" t="s">
        <v>997</v>
      </c>
      <c r="E2922" s="40" t="s">
        <v>997</v>
      </c>
    </row>
    <row r="2923" spans="1:5" ht="17.25">
      <c r="A2923" s="7" t="s">
        <v>1043</v>
      </c>
      <c r="B2923" s="40" t="s">
        <v>997</v>
      </c>
      <c r="C2923" s="40" t="s">
        <v>997</v>
      </c>
      <c r="D2923" s="40" t="s">
        <v>997</v>
      </c>
      <c r="E2923" s="40" t="s">
        <v>997</v>
      </c>
    </row>
    <row r="2924" spans="1:5" ht="17.25">
      <c r="A2924" s="7" t="s">
        <v>94</v>
      </c>
      <c r="B2924" s="40" t="s">
        <v>997</v>
      </c>
      <c r="C2924" s="40" t="s">
        <v>997</v>
      </c>
      <c r="D2924" s="40" t="s">
        <v>997</v>
      </c>
      <c r="E2924" s="40" t="s">
        <v>997</v>
      </c>
    </row>
    <row r="2925" spans="1:5" ht="17.25">
      <c r="A2925" s="7" t="s">
        <v>473</v>
      </c>
      <c r="B2925" s="40" t="s">
        <v>997</v>
      </c>
      <c r="C2925" s="40" t="s">
        <v>997</v>
      </c>
      <c r="D2925" s="40" t="s">
        <v>997</v>
      </c>
      <c r="E2925" s="40" t="s">
        <v>997</v>
      </c>
    </row>
    <row r="2926" spans="1:5" ht="17.25">
      <c r="A2926" s="7" t="s">
        <v>95</v>
      </c>
      <c r="B2926" s="40" t="s">
        <v>997</v>
      </c>
      <c r="C2926" s="40" t="s">
        <v>997</v>
      </c>
      <c r="D2926" s="40" t="s">
        <v>997</v>
      </c>
      <c r="E2926" s="40" t="s">
        <v>997</v>
      </c>
    </row>
    <row r="2929" spans="1:1">
      <c r="A2929" s="1" t="s">
        <v>1044</v>
      </c>
    </row>
    <row r="2930" spans="1:1" ht="17.25">
      <c r="A2930" s="2" t="s">
        <v>1045</v>
      </c>
    </row>
    <row r="2931" spans="1:1" ht="17.25">
      <c r="A2931" s="5" t="s">
        <v>161</v>
      </c>
    </row>
    <row r="2932" spans="1:1" ht="17.25">
      <c r="A2932" s="5" t="s">
        <v>1046</v>
      </c>
    </row>
    <row r="2933" spans="1:1" ht="17.25">
      <c r="A2933" s="5" t="s">
        <v>1047</v>
      </c>
    </row>
    <row r="2934" spans="1:1" ht="17.25">
      <c r="A2934" s="2" t="s">
        <v>1048</v>
      </c>
    </row>
    <row r="2935" spans="1:1" ht="17.25">
      <c r="A2935" s="5" t="s">
        <v>1049</v>
      </c>
    </row>
    <row r="2936" spans="1:1" ht="17.25">
      <c r="A2936" s="5" t="s">
        <v>1050</v>
      </c>
    </row>
    <row r="2937" spans="1:1" ht="17.25">
      <c r="A2937" s="5" t="s">
        <v>1051</v>
      </c>
    </row>
    <row r="2938" spans="1:1" ht="17.25">
      <c r="A2938" s="5" t="s">
        <v>1052</v>
      </c>
    </row>
    <row r="2939" spans="1:1" ht="17.25">
      <c r="A2939" s="2" t="s">
        <v>1053</v>
      </c>
    </row>
    <row r="2940" spans="1:1" ht="17.25">
      <c r="A2940" s="5" t="s">
        <v>1040</v>
      </c>
    </row>
    <row r="2941" spans="1:1" ht="17.25">
      <c r="A2941" s="5" t="s">
        <v>1050</v>
      </c>
    </row>
    <row r="2942" spans="1:1" ht="17.25">
      <c r="A2942" s="5" t="s">
        <v>1041</v>
      </c>
    </row>
    <row r="2945" spans="1:4">
      <c r="A2945" s="1" t="s">
        <v>1054</v>
      </c>
    </row>
    <row r="2946" spans="1:4" ht="17.25">
      <c r="A2946" s="2" t="s">
        <v>1055</v>
      </c>
    </row>
    <row r="2947" spans="1:4" ht="17.25">
      <c r="A2947" s="5" t="s">
        <v>1056</v>
      </c>
    </row>
    <row r="2948" spans="1:4" ht="17.25">
      <c r="A2948" s="5" t="s">
        <v>82</v>
      </c>
    </row>
    <row r="2949" spans="1:4" ht="17.25">
      <c r="A2949" s="5" t="s">
        <v>1057</v>
      </c>
    </row>
    <row r="2950" spans="1:4" ht="17.25">
      <c r="A2950" s="2" t="s">
        <v>1058</v>
      </c>
    </row>
    <row r="2951" spans="1:4" ht="17.25">
      <c r="A2951" s="5" t="s">
        <v>1059</v>
      </c>
    </row>
    <row r="2952" spans="1:4" ht="17.25">
      <c r="A2952" s="5" t="s">
        <v>91</v>
      </c>
    </row>
    <row r="2953" spans="1:4" ht="17.25">
      <c r="A2953" s="5" t="s">
        <v>689</v>
      </c>
    </row>
    <row r="2954" spans="1:4" ht="17.25">
      <c r="A2954" s="5" t="s">
        <v>568</v>
      </c>
    </row>
    <row r="2955" spans="1:4" ht="17.25">
      <c r="A2955" s="2" t="s">
        <v>1060</v>
      </c>
    </row>
    <row r="2958" spans="1:4">
      <c r="A2958" s="1" t="s">
        <v>1061</v>
      </c>
    </row>
    <row r="2959" spans="1:4">
      <c r="A2959" s="6" t="s">
        <v>156</v>
      </c>
      <c r="B2959" s="39" t="s">
        <v>80</v>
      </c>
      <c r="C2959" s="39" t="s">
        <v>82</v>
      </c>
      <c r="D2959" s="39" t="s">
        <v>85</v>
      </c>
    </row>
    <row r="2960" spans="1:4" ht="17.25">
      <c r="A2960" s="7" t="s">
        <v>996</v>
      </c>
      <c r="B2960" s="40" t="s">
        <v>997</v>
      </c>
      <c r="C2960" s="40" t="s">
        <v>997</v>
      </c>
      <c r="D2960" s="40" t="s">
        <v>997</v>
      </c>
    </row>
    <row r="2961" spans="1:4" ht="17.25">
      <c r="A2961" s="7" t="s">
        <v>459</v>
      </c>
      <c r="B2961" s="40" t="s">
        <v>997</v>
      </c>
      <c r="C2961" s="40" t="s">
        <v>997</v>
      </c>
      <c r="D2961" s="40" t="s">
        <v>997</v>
      </c>
    </row>
    <row r="2962" spans="1:4" ht="17.25">
      <c r="A2962" s="7" t="s">
        <v>52</v>
      </c>
      <c r="B2962" s="40" t="s">
        <v>997</v>
      </c>
      <c r="C2962" s="40" t="s">
        <v>997</v>
      </c>
      <c r="D2962" s="40" t="s">
        <v>997</v>
      </c>
    </row>
    <row r="2963" spans="1:4" ht="17.25">
      <c r="A2963" s="7" t="s">
        <v>456</v>
      </c>
      <c r="B2963" s="40" t="s">
        <v>997</v>
      </c>
      <c r="C2963" s="40" t="s">
        <v>997</v>
      </c>
      <c r="D2963" s="40" t="s">
        <v>997</v>
      </c>
    </row>
    <row r="2964" spans="1:4" ht="17.25">
      <c r="A2964" s="7" t="s">
        <v>65</v>
      </c>
      <c r="B2964" s="40" t="s">
        <v>997</v>
      </c>
      <c r="C2964" s="40" t="s">
        <v>997</v>
      </c>
      <c r="D2964" s="40" t="s">
        <v>997</v>
      </c>
    </row>
    <row r="2965" spans="1:4" ht="17.25">
      <c r="A2965" s="7" t="s">
        <v>62</v>
      </c>
      <c r="B2965" s="40" t="s">
        <v>997</v>
      </c>
      <c r="C2965" s="40" t="s">
        <v>997</v>
      </c>
      <c r="D2965" s="40" t="s">
        <v>997</v>
      </c>
    </row>
    <row r="2968" spans="1:4">
      <c r="A2968" s="1" t="s">
        <v>1062</v>
      </c>
    </row>
    <row r="2969" spans="1:4" ht="17.25">
      <c r="A2969" s="2" t="s">
        <v>1063</v>
      </c>
    </row>
    <row r="2970" spans="1:4" ht="17.25">
      <c r="A2970" s="5" t="s">
        <v>1064</v>
      </c>
    </row>
    <row r="2971" spans="1:4" ht="17.25">
      <c r="A2971" s="5" t="s">
        <v>161</v>
      </c>
    </row>
    <row r="2972" spans="1:4" ht="17.25">
      <c r="A2972" s="5" t="s">
        <v>984</v>
      </c>
    </row>
    <row r="2973" spans="1:4" ht="17.25">
      <c r="A2973" s="5" t="s">
        <v>1047</v>
      </c>
    </row>
    <row r="2974" spans="1:4" ht="17.25">
      <c r="A2974" s="5" t="s">
        <v>1065</v>
      </c>
    </row>
    <row r="2975" spans="1:4" ht="17.25">
      <c r="A2975" s="2" t="s">
        <v>1066</v>
      </c>
    </row>
    <row r="2976" spans="1:4" ht="17.25">
      <c r="A2976" s="5" t="s">
        <v>1001</v>
      </c>
    </row>
    <row r="2977" spans="1:2" ht="17.25">
      <c r="A2977" s="5" t="s">
        <v>1002</v>
      </c>
    </row>
    <row r="2978" spans="1:2" ht="17.25">
      <c r="A2978" s="5" t="s">
        <v>1003</v>
      </c>
    </row>
    <row r="2979" spans="1:2" ht="17.25">
      <c r="A2979" s="5" t="s">
        <v>1004</v>
      </c>
    </row>
    <row r="2980" spans="1:2" ht="17.25">
      <c r="A2980" s="5" t="s">
        <v>1005</v>
      </c>
    </row>
    <row r="2983" spans="1:2">
      <c r="A2983" s="1" t="s">
        <v>1067</v>
      </c>
    </row>
    <row r="2984" spans="1:2" ht="17.25">
      <c r="A2984" s="2" t="s">
        <v>1068</v>
      </c>
    </row>
    <row r="2985" spans="1:2" ht="17.25">
      <c r="A2985" s="2" t="s">
        <v>1069</v>
      </c>
    </row>
    <row r="2986" spans="1:2" ht="17.25">
      <c r="A2986" s="2" t="s">
        <v>1070</v>
      </c>
    </row>
    <row r="2987" spans="1:2" ht="17.25">
      <c r="A2987" s="2" t="s">
        <v>1069</v>
      </c>
    </row>
    <row r="2990" spans="1:2">
      <c r="A2990" s="1" t="s">
        <v>1071</v>
      </c>
    </row>
    <row r="2991" spans="1:2">
      <c r="A2991" s="1" t="s">
        <v>1072</v>
      </c>
    </row>
    <row r="2992" spans="1:2">
      <c r="A2992" s="6" t="s">
        <v>1073</v>
      </c>
      <c r="B2992" s="6" t="s">
        <v>1074</v>
      </c>
    </row>
    <row r="2993" spans="1:2" ht="17.25">
      <c r="A2993" s="7" t="s">
        <v>1075</v>
      </c>
      <c r="B2993" s="7" t="s">
        <v>1076</v>
      </c>
    </row>
    <row r="2994" spans="1:2" ht="17.25">
      <c r="A2994" s="7" t="s">
        <v>1077</v>
      </c>
      <c r="B2994" s="7" t="s">
        <v>1078</v>
      </c>
    </row>
    <row r="2995" spans="1:2" ht="17.25">
      <c r="A2995" s="7" t="s">
        <v>1079</v>
      </c>
      <c r="B2995" s="7" t="s">
        <v>1080</v>
      </c>
    </row>
    <row r="2996" spans="1:2" ht="17.25">
      <c r="A2996" s="7" t="s">
        <v>1081</v>
      </c>
      <c r="B2996" s="7" t="s">
        <v>947</v>
      </c>
    </row>
    <row r="2997" spans="1:2" ht="17.25">
      <c r="A2997" s="7" t="s">
        <v>1082</v>
      </c>
      <c r="B2997" s="7" t="s">
        <v>580</v>
      </c>
    </row>
    <row r="3000" spans="1:2">
      <c r="A3000" s="1" t="s">
        <v>1083</v>
      </c>
    </row>
    <row r="3001" spans="1:2" ht="17.25">
      <c r="A3001" s="2" t="s">
        <v>1084</v>
      </c>
    </row>
    <row r="3002" spans="1:2" ht="17.25">
      <c r="A3002" s="5" t="s">
        <v>1085</v>
      </c>
    </row>
    <row r="3003" spans="1:2" ht="17.25">
      <c r="A3003" s="5" t="s">
        <v>1086</v>
      </c>
    </row>
    <row r="3004" spans="1:2" ht="17.25">
      <c r="A3004" s="5" t="s">
        <v>1087</v>
      </c>
    </row>
    <row r="3005" spans="1:2" ht="17.25">
      <c r="A3005" s="5" t="s">
        <v>1088</v>
      </c>
    </row>
    <row r="3006" spans="1:2" ht="17.25">
      <c r="A3006" s="5" t="s">
        <v>1089</v>
      </c>
    </row>
    <row r="3007" spans="1:2" ht="17.25">
      <c r="A3007" s="5" t="s">
        <v>1090</v>
      </c>
    </row>
    <row r="3008" spans="1:2" ht="17.25">
      <c r="A3008" s="5" t="s">
        <v>1091</v>
      </c>
    </row>
    <row r="3009" spans="1:1" ht="17.25">
      <c r="A3009" s="5" t="s">
        <v>1092</v>
      </c>
    </row>
    <row r="3010" spans="1:1" ht="17.25">
      <c r="A3010" s="5" t="s">
        <v>1093</v>
      </c>
    </row>
    <row r="3011" spans="1:1" ht="17.25">
      <c r="A3011" s="5" t="s">
        <v>1094</v>
      </c>
    </row>
    <row r="3014" spans="1:1">
      <c r="A3014" s="1" t="s">
        <v>1095</v>
      </c>
    </row>
    <row r="3015" spans="1:1" ht="17.25">
      <c r="A3015" s="2" t="s">
        <v>1096</v>
      </c>
    </row>
    <row r="3016" spans="1:1" ht="17.25">
      <c r="A3016" s="2" t="s">
        <v>1097</v>
      </c>
    </row>
    <row r="3017" spans="1:1" ht="17.25">
      <c r="A3017" s="2" t="s">
        <v>996</v>
      </c>
    </row>
    <row r="3018" spans="1:1" ht="17.25">
      <c r="A3018" s="2" t="s">
        <v>456</v>
      </c>
    </row>
    <row r="3019" spans="1:1" ht="17.25">
      <c r="A3019" s="2" t="s">
        <v>52</v>
      </c>
    </row>
    <row r="3020" spans="1:1" ht="17.25">
      <c r="A3020" s="2" t="s">
        <v>381</v>
      </c>
    </row>
    <row r="3021" spans="1:1" ht="17.25">
      <c r="A3021" s="2" t="s">
        <v>1078</v>
      </c>
    </row>
    <row r="3022" spans="1:1" ht="17.25">
      <c r="A3022" s="2" t="s">
        <v>764</v>
      </c>
    </row>
    <row r="3023" spans="1:1" ht="17.25">
      <c r="A3023" s="2" t="s">
        <v>65</v>
      </c>
    </row>
    <row r="3024" spans="1:1" ht="17.25">
      <c r="A3024" s="2" t="s">
        <v>460</v>
      </c>
    </row>
    <row r="3025" spans="1:1" ht="17.25">
      <c r="A3025" s="2" t="s">
        <v>580</v>
      </c>
    </row>
    <row r="3026" spans="1:1" ht="17.25">
      <c r="A3026" s="2" t="s">
        <v>947</v>
      </c>
    </row>
    <row r="3029" spans="1:1">
      <c r="A3029" s="1" t="s">
        <v>1098</v>
      </c>
    </row>
    <row r="3030" spans="1:1" ht="17.25">
      <c r="A3030" s="2" t="s">
        <v>1099</v>
      </c>
    </row>
    <row r="3031" spans="1:1" ht="17.25">
      <c r="A3031" s="2" t="s">
        <v>957</v>
      </c>
    </row>
    <row r="3032" spans="1:1" ht="17.25">
      <c r="A3032" s="5" t="s">
        <v>1398</v>
      </c>
    </row>
    <row r="3033" spans="1:1" ht="17.25">
      <c r="A3033" s="5" t="s">
        <v>1399</v>
      </c>
    </row>
    <row r="3034" spans="1:1" ht="17.25">
      <c r="A3034" s="5" t="s">
        <v>1400</v>
      </c>
    </row>
    <row r="3035" spans="1:1" ht="17.25">
      <c r="A3035" s="2"/>
    </row>
    <row r="3036" spans="1:1" ht="17.25">
      <c r="A3036" s="2"/>
    </row>
    <row r="3037" spans="1:1" ht="17.25">
      <c r="A3037" s="2"/>
    </row>
    <row r="3038" spans="1:1" ht="17.25">
      <c r="A3038" s="2"/>
    </row>
    <row r="3039" spans="1:1" ht="17.25">
      <c r="A3039" s="2"/>
    </row>
    <row r="3040" spans="1:1" ht="17.25">
      <c r="A3040" s="2"/>
    </row>
    <row r="3041" spans="1:1" ht="17.25">
      <c r="A3041" s="2"/>
    </row>
    <row r="3042" spans="1:1" ht="17.25">
      <c r="A3042" s="2"/>
    </row>
    <row r="3043" spans="1:1" ht="17.25">
      <c r="A3043" s="2"/>
    </row>
    <row r="3044" spans="1:1" ht="17.25">
      <c r="A3044" s="2"/>
    </row>
    <row r="3045" spans="1:1" ht="17.25">
      <c r="A3045" s="2"/>
    </row>
    <row r="3046" spans="1:1" ht="17.25">
      <c r="A3046" s="2"/>
    </row>
    <row r="3047" spans="1:1" ht="17.25">
      <c r="A3047" s="2"/>
    </row>
    <row r="3048" spans="1:1" ht="17.25">
      <c r="A3048" s="2"/>
    </row>
    <row r="3049" spans="1:1" ht="17.25">
      <c r="A3049" s="2"/>
    </row>
    <row r="3050" spans="1:1" ht="17.25">
      <c r="A3050" s="2"/>
    </row>
    <row r="3051" spans="1:1" ht="17.25">
      <c r="A3051" s="2"/>
    </row>
    <row r="3052" spans="1:1" ht="17.25">
      <c r="A3052" s="2"/>
    </row>
    <row r="3053" spans="1:1" ht="17.25">
      <c r="A3053" s="2"/>
    </row>
    <row r="3054" spans="1:1" ht="17.25">
      <c r="A3054" s="2"/>
    </row>
    <row r="3055" spans="1:1" ht="17.25">
      <c r="A3055" s="2"/>
    </row>
    <row r="3056" spans="1:1" ht="17.25">
      <c r="A3056" s="2"/>
    </row>
    <row r="3057" spans="1:1" ht="17.25">
      <c r="A3057" s="2"/>
    </row>
    <row r="3058" spans="1:1" ht="17.25">
      <c r="A3058" s="2"/>
    </row>
    <row r="3059" spans="1:1" ht="17.25">
      <c r="A3059" s="2"/>
    </row>
    <row r="3060" spans="1:1" ht="17.25">
      <c r="A3060" s="2"/>
    </row>
    <row r="3061" spans="1:1" ht="17.25">
      <c r="A3061" s="2" t="s">
        <v>1401</v>
      </c>
    </row>
    <row r="3062" spans="1:1">
      <c r="A3062" s="1" t="s">
        <v>1402</v>
      </c>
    </row>
    <row r="3063" spans="1:1">
      <c r="A3063" s="1" t="s">
        <v>1403</v>
      </c>
    </row>
    <row r="3064" spans="1:1" ht="17.25">
      <c r="A3064" s="2" t="s">
        <v>1404</v>
      </c>
    </row>
    <row r="3065" spans="1:1">
      <c r="A3065" s="10" t="s">
        <v>1405</v>
      </c>
    </row>
    <row r="3066" spans="1:1" ht="17.25">
      <c r="A3066" s="5" t="s">
        <v>1406</v>
      </c>
    </row>
    <row r="3067" spans="1:1" ht="17.25">
      <c r="A3067" s="10" t="s">
        <v>1407</v>
      </c>
    </row>
    <row r="3068" spans="1:1" ht="17.25">
      <c r="A3068" s="5" t="s">
        <v>1408</v>
      </c>
    </row>
    <row r="3069" spans="1:1">
      <c r="A3069" s="10" t="s">
        <v>1409</v>
      </c>
    </row>
    <row r="3070" spans="1:1" ht="17.25">
      <c r="A3070" s="5" t="s">
        <v>1410</v>
      </c>
    </row>
    <row r="3073" spans="1:1">
      <c r="A3073" s="1" t="s">
        <v>1411</v>
      </c>
    </row>
    <row r="3074" spans="1:1">
      <c r="A3074" s="1" t="s">
        <v>1412</v>
      </c>
    </row>
    <row r="3075" spans="1:1" ht="17.25">
      <c r="A3075" s="2" t="s">
        <v>1413</v>
      </c>
    </row>
    <row r="3076" spans="1:1" ht="17.25">
      <c r="A3076" s="5" t="s">
        <v>1414</v>
      </c>
    </row>
    <row r="3077" spans="1:1" ht="17.25">
      <c r="A3077" s="5" t="s">
        <v>1415</v>
      </c>
    </row>
    <row r="3078" spans="1:1" ht="17.25">
      <c r="A3078" s="5" t="s">
        <v>1416</v>
      </c>
    </row>
    <row r="3079" spans="1:1" ht="17.25">
      <c r="A3079" s="5" t="s">
        <v>1417</v>
      </c>
    </row>
    <row r="3080" spans="1:1" ht="17.25">
      <c r="A3080" s="2" t="s">
        <v>1418</v>
      </c>
    </row>
    <row r="3081" spans="1:1" ht="17.25">
      <c r="A3081" s="10" t="s">
        <v>1419</v>
      </c>
    </row>
    <row r="3082" spans="1:1" ht="17.25">
      <c r="A3082" s="10" t="s">
        <v>1420</v>
      </c>
    </row>
    <row r="3083" spans="1:1" ht="17.25">
      <c r="A3083" s="10" t="s">
        <v>1421</v>
      </c>
    </row>
    <row r="3086" spans="1:1">
      <c r="A3086" s="1" t="s">
        <v>1422</v>
      </c>
    </row>
    <row r="3087" spans="1:1" ht="17.25">
      <c r="A3087" s="2" t="s">
        <v>1423</v>
      </c>
    </row>
    <row r="3088" spans="1:1">
      <c r="A3088" s="1" t="s">
        <v>1424</v>
      </c>
    </row>
    <row r="3089" spans="1:1">
      <c r="A3089" s="1" t="s">
        <v>1425</v>
      </c>
    </row>
    <row r="3090" spans="1:1" ht="17.25">
      <c r="A3090" s="2" t="s">
        <v>1426</v>
      </c>
    </row>
    <row r="3091" spans="1:1" ht="17.25">
      <c r="A3091" s="2" t="s">
        <v>1427</v>
      </c>
    </row>
    <row r="3092" spans="1:1" ht="17.25">
      <c r="A3092" s="2" t="s">
        <v>1428</v>
      </c>
    </row>
    <row r="3093" spans="1:1">
      <c r="A3093" s="1" t="s">
        <v>1429</v>
      </c>
    </row>
    <row r="3094" spans="1:1" ht="17.25">
      <c r="A3094" s="2" t="s">
        <v>1426</v>
      </c>
    </row>
    <row r="3095" spans="1:1" ht="17.25">
      <c r="A3095" s="2" t="s">
        <v>1430</v>
      </c>
    </row>
    <row r="3096" spans="1:1" ht="17.25">
      <c r="A3096" s="2" t="s">
        <v>1428</v>
      </c>
    </row>
    <row r="3097" spans="1:1" ht="17.25">
      <c r="A3097" s="2" t="s">
        <v>1431</v>
      </c>
    </row>
    <row r="3098" spans="1:1" ht="17.25">
      <c r="A3098" s="5" t="s">
        <v>1432</v>
      </c>
    </row>
    <row r="3099" spans="1:1" ht="17.25">
      <c r="A3099" s="5" t="s">
        <v>1433</v>
      </c>
    </row>
    <row r="3100" spans="1:1" ht="17.25">
      <c r="A3100" s="5" t="s">
        <v>1434</v>
      </c>
    </row>
    <row r="3101" spans="1:1" ht="17.25">
      <c r="A3101" s="41" t="s">
        <v>1435</v>
      </c>
    </row>
    <row r="3104" spans="1:1">
      <c r="A3104" s="1" t="s">
        <v>1436</v>
      </c>
    </row>
    <row r="3105" spans="1:1" ht="17.25">
      <c r="A3105" s="2" t="s">
        <v>1437</v>
      </c>
    </row>
    <row r="3106" spans="1:1" ht="17.25">
      <c r="A3106" s="2" t="s">
        <v>1426</v>
      </c>
    </row>
    <row r="3107" spans="1:1" ht="17.25">
      <c r="A3107" s="2" t="s">
        <v>1438</v>
      </c>
    </row>
    <row r="3108" spans="1:1" ht="17.25">
      <c r="A3108" s="2" t="s">
        <v>1428</v>
      </c>
    </row>
    <row r="3109" spans="1:1" ht="17.25">
      <c r="A3109" s="2" t="s">
        <v>1439</v>
      </c>
    </row>
    <row r="3110" spans="1:1" ht="17.25">
      <c r="A3110" s="5" t="s">
        <v>1440</v>
      </c>
    </row>
    <row r="3111" spans="1:1" ht="17.25">
      <c r="A3111" s="5" t="s">
        <v>1441</v>
      </c>
    </row>
    <row r="3114" spans="1:1">
      <c r="A3114" s="1" t="s">
        <v>1442</v>
      </c>
    </row>
    <row r="3115" spans="1:1" ht="17.25">
      <c r="A3115" s="2" t="s">
        <v>1426</v>
      </c>
    </row>
    <row r="3116" spans="1:1" ht="17.25">
      <c r="A3116" s="2" t="s">
        <v>1443</v>
      </c>
    </row>
    <row r="3117" spans="1:1" ht="17.25">
      <c r="A3117" s="2" t="s">
        <v>1428</v>
      </c>
    </row>
    <row r="3118" spans="1:1" ht="17.25">
      <c r="A3118" s="2" t="s">
        <v>1439</v>
      </c>
    </row>
    <row r="3119" spans="1:1" ht="17.25">
      <c r="A3119" s="5" t="s">
        <v>1444</v>
      </c>
    </row>
    <row r="3120" spans="1:1" ht="17.25">
      <c r="A3120" s="5" t="s">
        <v>1445</v>
      </c>
    </row>
    <row r="3121" spans="1:1" ht="17.25">
      <c r="A3121" s="2" t="s">
        <v>1446</v>
      </c>
    </row>
    <row r="3124" spans="1:1">
      <c r="A3124" s="1" t="s">
        <v>1447</v>
      </c>
    </row>
    <row r="3125" spans="1:1" ht="17.25">
      <c r="A3125" s="2" t="s">
        <v>1448</v>
      </c>
    </row>
    <row r="3126" spans="1:1" ht="17.25">
      <c r="A3126" s="10" t="s">
        <v>1449</v>
      </c>
    </row>
    <row r="3127" spans="1:1" ht="17.25">
      <c r="A3127" s="10" t="s">
        <v>1450</v>
      </c>
    </row>
    <row r="3128" spans="1:1" ht="17.25">
      <c r="A3128" s="10" t="s">
        <v>1451</v>
      </c>
    </row>
    <row r="3129" spans="1:1" ht="17.25">
      <c r="A3129" s="10" t="s">
        <v>1452</v>
      </c>
    </row>
    <row r="3132" spans="1:1">
      <c r="A3132" s="1" t="s">
        <v>1453</v>
      </c>
    </row>
    <row r="3133" spans="1:1" ht="17.25">
      <c r="A3133" s="2" t="s">
        <v>1454</v>
      </c>
    </row>
    <row r="3134" spans="1:1">
      <c r="A3134" s="1" t="s">
        <v>1455</v>
      </c>
    </row>
    <row r="3135" spans="1:1" ht="17.25">
      <c r="A3135" s="2" t="s">
        <v>1456</v>
      </c>
    </row>
    <row r="3136" spans="1:1" ht="17.25">
      <c r="A3136" s="10" t="s">
        <v>1457</v>
      </c>
    </row>
    <row r="3137" spans="1:1" ht="17.25">
      <c r="A3137" s="10" t="s">
        <v>1458</v>
      </c>
    </row>
    <row r="3138" spans="1:1" ht="17.25">
      <c r="A3138" s="10" t="s">
        <v>1459</v>
      </c>
    </row>
    <row r="3139" spans="1:1" ht="17.25">
      <c r="A3139" s="2" t="s">
        <v>1460</v>
      </c>
    </row>
    <row r="3140" spans="1:1">
      <c r="A3140" s="1" t="s">
        <v>1461</v>
      </c>
    </row>
    <row r="3141" spans="1:1" ht="17.25">
      <c r="A3141" s="2" t="s">
        <v>1426</v>
      </c>
    </row>
    <row r="3142" spans="1:1" ht="17.25">
      <c r="A3142" s="2" t="s">
        <v>1462</v>
      </c>
    </row>
    <row r="3143" spans="1:1" ht="17.25">
      <c r="A3143" s="2" t="s">
        <v>1428</v>
      </c>
    </row>
    <row r="3144" spans="1:1" ht="17.25">
      <c r="A3144" s="2" t="s">
        <v>1463</v>
      </c>
    </row>
    <row r="3145" spans="1:1" ht="17.25">
      <c r="A3145" s="2" t="s">
        <v>1426</v>
      </c>
    </row>
    <row r="3146" spans="1:1" ht="17.25">
      <c r="A3146" s="2" t="s">
        <v>1464</v>
      </c>
    </row>
    <row r="3147" spans="1:1" ht="17.25">
      <c r="A3147" s="2" t="s">
        <v>1428</v>
      </c>
    </row>
    <row r="3150" spans="1:1">
      <c r="A3150" s="1" t="s">
        <v>1465</v>
      </c>
    </row>
    <row r="3151" spans="1:1" ht="17.25">
      <c r="A3151" s="2" t="s">
        <v>1466</v>
      </c>
    </row>
    <row r="3152" spans="1:1" ht="17.25">
      <c r="A3152" s="10" t="s">
        <v>1467</v>
      </c>
    </row>
    <row r="3153" spans="1:1" ht="17.25">
      <c r="A3153" s="10" t="s">
        <v>1468</v>
      </c>
    </row>
    <row r="3154" spans="1:1" ht="17.25">
      <c r="A3154" s="10" t="s">
        <v>1469</v>
      </c>
    </row>
    <row r="3155" spans="1:1" ht="17.25">
      <c r="A3155" s="2" t="s">
        <v>1470</v>
      </c>
    </row>
    <row r="3156" spans="1:1" ht="17.25">
      <c r="A3156" s="2" t="s">
        <v>1426</v>
      </c>
    </row>
    <row r="3157" spans="1:1" ht="17.25">
      <c r="A3157" s="2" t="s">
        <v>1471</v>
      </c>
    </row>
    <row r="3158" spans="1:1" ht="17.25">
      <c r="A3158" s="2" t="s">
        <v>1428</v>
      </c>
    </row>
    <row r="3159" spans="1:1" ht="17.25">
      <c r="A3159" s="2" t="s">
        <v>1472</v>
      </c>
    </row>
    <row r="3160" spans="1:1" ht="17.25">
      <c r="A3160" s="2" t="s">
        <v>1426</v>
      </c>
    </row>
    <row r="3161" spans="1:1" ht="17.25">
      <c r="A3161" s="2" t="s">
        <v>1473</v>
      </c>
    </row>
    <row r="3162" spans="1:1" ht="17.25">
      <c r="A3162" s="2" t="s">
        <v>1428</v>
      </c>
    </row>
    <row r="3165" spans="1:1">
      <c r="A3165" s="1" t="s">
        <v>1474</v>
      </c>
    </row>
    <row r="3166" spans="1:1" ht="17.25">
      <c r="A3166" s="2" t="s">
        <v>1475</v>
      </c>
    </row>
    <row r="3167" spans="1:1" ht="17.25">
      <c r="A3167" s="5" t="s">
        <v>1476</v>
      </c>
    </row>
    <row r="3168" spans="1:1" ht="17.25">
      <c r="A3168" s="5" t="s">
        <v>1477</v>
      </c>
    </row>
    <row r="3169" spans="1:1" ht="17.25">
      <c r="A3169" s="5" t="s">
        <v>1478</v>
      </c>
    </row>
    <row r="3170" spans="1:1" ht="17.25">
      <c r="A3170" s="5" t="s">
        <v>1479</v>
      </c>
    </row>
    <row r="3173" spans="1:1">
      <c r="A3173" s="1" t="s">
        <v>1480</v>
      </c>
    </row>
    <row r="3174" spans="1:1" ht="17.25">
      <c r="A3174" s="2" t="s">
        <v>1481</v>
      </c>
    </row>
    <row r="3175" spans="1:1" ht="17.25">
      <c r="A3175" s="5" t="s">
        <v>1482</v>
      </c>
    </row>
    <row r="3176" spans="1:1" ht="17.25">
      <c r="A3176" s="5" t="s">
        <v>1483</v>
      </c>
    </row>
    <row r="3177" spans="1:1" ht="17.25">
      <c r="A3177" s="5" t="s">
        <v>1484</v>
      </c>
    </row>
    <row r="3178" spans="1:1" ht="17.25">
      <c r="A3178" s="5" t="s">
        <v>1485</v>
      </c>
    </row>
    <row r="3179" spans="1:1" ht="17.25">
      <c r="A3179" s="2" t="s">
        <v>1486</v>
      </c>
    </row>
    <row r="3180" spans="1:1" ht="17.25">
      <c r="A3180" s="5" t="s">
        <v>1487</v>
      </c>
    </row>
    <row r="3181" spans="1:1" ht="17.25">
      <c r="A3181" s="5" t="s">
        <v>1488</v>
      </c>
    </row>
    <row r="3182" spans="1:1" ht="17.25">
      <c r="A3182" s="5" t="s">
        <v>1489</v>
      </c>
    </row>
    <row r="3185" spans="1:1">
      <c r="A3185" s="1" t="s">
        <v>1490</v>
      </c>
    </row>
    <row r="3186" spans="1:1" ht="17.25">
      <c r="A3186" s="2" t="s">
        <v>1491</v>
      </c>
    </row>
    <row r="3187" spans="1:1">
      <c r="A3187" s="10" t="s">
        <v>1492</v>
      </c>
    </row>
    <row r="3188" spans="1:1">
      <c r="A3188" s="10" t="s">
        <v>1493</v>
      </c>
    </row>
    <row r="3189" spans="1:1">
      <c r="A3189" s="10" t="s">
        <v>1494</v>
      </c>
    </row>
    <row r="3192" spans="1:1">
      <c r="A3192" s="1" t="s">
        <v>1495</v>
      </c>
    </row>
    <row r="3193" spans="1:1">
      <c r="A3193" s="1" t="s">
        <v>1496</v>
      </c>
    </row>
    <row r="3194" spans="1:1" ht="17.25">
      <c r="A3194" s="5" t="s">
        <v>1497</v>
      </c>
    </row>
    <row r="3195" spans="1:1" ht="17.25">
      <c r="A3195" s="5" t="s">
        <v>1498</v>
      </c>
    </row>
    <row r="3196" spans="1:1" ht="17.25">
      <c r="A3196" s="5" t="s">
        <v>1499</v>
      </c>
    </row>
    <row r="3197" spans="1:1" ht="17.25">
      <c r="A3197" s="5" t="s">
        <v>1500</v>
      </c>
    </row>
    <row r="3198" spans="1:1" ht="17.25">
      <c r="A3198" s="5" t="s">
        <v>1501</v>
      </c>
    </row>
    <row r="3201" spans="1:1">
      <c r="A3201" s="1" t="s">
        <v>1502</v>
      </c>
    </row>
    <row r="3202" spans="1:1" ht="17.25">
      <c r="A3202" s="2" t="s">
        <v>1503</v>
      </c>
    </row>
    <row r="3203" spans="1:1" ht="17.25">
      <c r="A3203" s="5" t="s">
        <v>1504</v>
      </c>
    </row>
    <row r="3204" spans="1:1" ht="17.25">
      <c r="A3204" s="5" t="s">
        <v>1505</v>
      </c>
    </row>
    <row r="3205" spans="1:1" ht="17.25">
      <c r="A3205" s="5" t="s">
        <v>1506</v>
      </c>
    </row>
    <row r="3206" spans="1:1" ht="17.25">
      <c r="A3206" s="5" t="s">
        <v>1507</v>
      </c>
    </row>
    <row r="3207" spans="1:1" ht="17.25">
      <c r="A3207" s="5" t="s">
        <v>1508</v>
      </c>
    </row>
    <row r="3208" spans="1:1" ht="17.25">
      <c r="A3208" s="2" t="s">
        <v>1470</v>
      </c>
    </row>
    <row r="3209" spans="1:1" ht="17.25">
      <c r="A3209" s="2" t="s">
        <v>1426</v>
      </c>
    </row>
    <row r="3210" spans="1:1" ht="17.25">
      <c r="A3210" s="2" t="s">
        <v>1509</v>
      </c>
    </row>
    <row r="3211" spans="1:1" ht="17.25">
      <c r="A3211" s="2" t="s">
        <v>1428</v>
      </c>
    </row>
    <row r="3212" spans="1:1" ht="17.25">
      <c r="A3212" s="2" t="s">
        <v>1426</v>
      </c>
    </row>
    <row r="3213" spans="1:1" ht="17.25">
      <c r="A3213" s="2" t="s">
        <v>1510</v>
      </c>
    </row>
    <row r="3214" spans="1:1" ht="17.25">
      <c r="A3214" s="2" t="s">
        <v>1428</v>
      </c>
    </row>
    <row r="3217" spans="1:1">
      <c r="A3217" s="1" t="s">
        <v>1511</v>
      </c>
    </row>
    <row r="3218" spans="1:1" ht="17.25">
      <c r="A3218" s="2" t="s">
        <v>1512</v>
      </c>
    </row>
    <row r="3219" spans="1:1" ht="17.25">
      <c r="A3219" s="5" t="s">
        <v>1513</v>
      </c>
    </row>
    <row r="3220" spans="1:1" ht="17.25">
      <c r="A3220" s="5" t="s">
        <v>1514</v>
      </c>
    </row>
    <row r="3221" spans="1:1" ht="17.25">
      <c r="A3221" s="5" t="s">
        <v>1515</v>
      </c>
    </row>
    <row r="3222" spans="1:1" ht="17.25">
      <c r="A3222" s="5" t="s">
        <v>1516</v>
      </c>
    </row>
    <row r="3223" spans="1:1">
      <c r="A3223" s="1" t="s">
        <v>1517</v>
      </c>
    </row>
    <row r="3224" spans="1:1" ht="17.25">
      <c r="A3224" s="2" t="s">
        <v>1426</v>
      </c>
    </row>
    <row r="3225" spans="1:1" ht="17.25">
      <c r="A3225" s="2" t="s">
        <v>1518</v>
      </c>
    </row>
    <row r="3226" spans="1:1" ht="17.25">
      <c r="A3226" s="2" t="s">
        <v>1428</v>
      </c>
    </row>
    <row r="3227" spans="1:1" ht="17.25">
      <c r="A3227" s="2" t="s">
        <v>1519</v>
      </c>
    </row>
    <row r="3230" spans="1:1">
      <c r="A3230" s="1" t="s">
        <v>1520</v>
      </c>
    </row>
    <row r="3231" spans="1:1" ht="17.25">
      <c r="A3231" s="2" t="s">
        <v>1521</v>
      </c>
    </row>
    <row r="3232" spans="1:1" ht="17.25">
      <c r="A3232" s="10" t="s">
        <v>1522</v>
      </c>
    </row>
    <row r="3233" spans="1:1" ht="17.25">
      <c r="A3233" s="10" t="s">
        <v>1523</v>
      </c>
    </row>
    <row r="3234" spans="1:1" ht="17.25">
      <c r="A3234" s="10" t="s">
        <v>1524</v>
      </c>
    </row>
    <row r="3235" spans="1:1" ht="17.25">
      <c r="A3235" s="10" t="s">
        <v>1525</v>
      </c>
    </row>
    <row r="3236" spans="1:1" ht="17.25">
      <c r="A3236" s="2" t="s">
        <v>1526</v>
      </c>
    </row>
    <row r="3239" spans="1:1">
      <c r="A3239" s="1" t="s">
        <v>1527</v>
      </c>
    </row>
    <row r="3240" spans="1:1" ht="17.25">
      <c r="A3240" s="2" t="s">
        <v>1528</v>
      </c>
    </row>
    <row r="3241" spans="1:1" ht="17.25">
      <c r="A3241" s="5" t="s">
        <v>1529</v>
      </c>
    </row>
    <row r="3242" spans="1:1" ht="17.25">
      <c r="A3242" s="5" t="s">
        <v>1530</v>
      </c>
    </row>
    <row r="3243" spans="1:1" ht="17.25">
      <c r="A3243" s="5" t="s">
        <v>1531</v>
      </c>
    </row>
    <row r="3244" spans="1:1" ht="17.25">
      <c r="A3244" s="5" t="s">
        <v>1532</v>
      </c>
    </row>
    <row r="3245" spans="1:1" ht="17.25">
      <c r="A3245" s="5" t="s">
        <v>1533</v>
      </c>
    </row>
    <row r="3246" spans="1:1" ht="17.25">
      <c r="A3246" s="5" t="s">
        <v>1534</v>
      </c>
    </row>
    <row r="3247" spans="1:1" ht="17.25">
      <c r="A3247" s="2" t="s">
        <v>1535</v>
      </c>
    </row>
    <row r="3250" spans="1:7">
      <c r="A3250" s="1" t="s">
        <v>1536</v>
      </c>
    </row>
    <row r="3251" spans="1:7" ht="17.25">
      <c r="A3251" s="2" t="s">
        <v>1537</v>
      </c>
    </row>
    <row r="3252" spans="1:7" ht="17.25">
      <c r="A3252" s="5" t="s">
        <v>1538</v>
      </c>
    </row>
    <row r="3253" spans="1:7" ht="17.25">
      <c r="A3253" s="5" t="s">
        <v>1539</v>
      </c>
    </row>
    <row r="3254" spans="1:7" ht="17.25">
      <c r="A3254" s="5" t="s">
        <v>1540</v>
      </c>
    </row>
    <row r="3255" spans="1:7" ht="17.25">
      <c r="A3255" s="5" t="s">
        <v>1541</v>
      </c>
    </row>
    <row r="3256" spans="1:7" ht="17.25">
      <c r="A3256" s="5" t="s">
        <v>1542</v>
      </c>
    </row>
    <row r="3257" spans="1:7" ht="17.25">
      <c r="A3257" s="5" t="s">
        <v>1543</v>
      </c>
    </row>
    <row r="3260" spans="1:7">
      <c r="A3260" s="1" t="s">
        <v>1544</v>
      </c>
    </row>
    <row r="3261" spans="1:7">
      <c r="A3261" s="6" t="s">
        <v>1545</v>
      </c>
      <c r="B3261" s="6" t="s">
        <v>1546</v>
      </c>
      <c r="C3261" s="6" t="s">
        <v>1547</v>
      </c>
      <c r="D3261" s="6" t="s">
        <v>1548</v>
      </c>
      <c r="E3261" s="6" t="s">
        <v>1549</v>
      </c>
      <c r="F3261" s="6" t="s">
        <v>1550</v>
      </c>
      <c r="G3261" s="6" t="s">
        <v>1551</v>
      </c>
    </row>
    <row r="3262" spans="1:7" ht="17.25">
      <c r="A3262" s="7" t="s">
        <v>949</v>
      </c>
      <c r="B3262" s="7">
        <v>74</v>
      </c>
      <c r="C3262" s="7">
        <v>71</v>
      </c>
      <c r="D3262" s="7">
        <v>68</v>
      </c>
      <c r="E3262" s="7">
        <v>3</v>
      </c>
      <c r="F3262" s="7">
        <v>6</v>
      </c>
      <c r="G3262" s="42" t="s">
        <v>1278</v>
      </c>
    </row>
    <row r="3263" spans="1:7" ht="17.25">
      <c r="A3263" s="7" t="s">
        <v>1552</v>
      </c>
      <c r="B3263" s="7">
        <v>81</v>
      </c>
      <c r="C3263" s="7">
        <v>79</v>
      </c>
      <c r="D3263" s="7">
        <v>76</v>
      </c>
      <c r="E3263" s="7">
        <v>2</v>
      </c>
      <c r="F3263" s="7">
        <v>5</v>
      </c>
      <c r="G3263" s="42" t="s">
        <v>1279</v>
      </c>
    </row>
    <row r="3264" spans="1:7" ht="17.25">
      <c r="A3264" s="7" t="s">
        <v>1553</v>
      </c>
      <c r="B3264" s="7">
        <v>69</v>
      </c>
      <c r="C3264" s="7">
        <v>72</v>
      </c>
      <c r="D3264" s="7">
        <v>70</v>
      </c>
      <c r="E3264" s="7">
        <v>-3</v>
      </c>
      <c r="F3264" s="7">
        <v>-1</v>
      </c>
      <c r="G3264" s="42" t="s">
        <v>1278</v>
      </c>
    </row>
    <row r="3265" spans="1:7" ht="17.25">
      <c r="A3265" s="7" t="s">
        <v>1554</v>
      </c>
      <c r="B3265" s="7">
        <v>73</v>
      </c>
      <c r="C3265" s="7">
        <v>68</v>
      </c>
      <c r="D3265" s="7">
        <v>64</v>
      </c>
      <c r="E3265" s="7">
        <v>5</v>
      </c>
      <c r="F3265" s="7">
        <v>9</v>
      </c>
      <c r="G3265" s="42" t="s">
        <v>1278</v>
      </c>
    </row>
    <row r="3266" spans="1:7" ht="17.25">
      <c r="A3266" s="7" t="s">
        <v>1555</v>
      </c>
      <c r="B3266" s="7">
        <v>65</v>
      </c>
      <c r="C3266" s="7">
        <v>66</v>
      </c>
      <c r="D3266" s="7">
        <v>61</v>
      </c>
      <c r="E3266" s="7">
        <v>-1</v>
      </c>
      <c r="F3266" s="7">
        <v>4</v>
      </c>
      <c r="G3266" s="42" t="s">
        <v>1277</v>
      </c>
    </row>
    <row r="3269" spans="1:7">
      <c r="A3269" s="1" t="s">
        <v>1556</v>
      </c>
    </row>
    <row r="3270" spans="1:7" ht="17.25">
      <c r="A3270" s="2" t="s">
        <v>1557</v>
      </c>
    </row>
    <row r="3271" spans="1:7" ht="17.25">
      <c r="A3271" s="10" t="s">
        <v>1558</v>
      </c>
    </row>
    <row r="3272" spans="1:7" ht="17.25">
      <c r="A3272" s="10" t="s">
        <v>1559</v>
      </c>
    </row>
    <row r="3273" spans="1:7" ht="17.25">
      <c r="A3273" s="10" t="s">
        <v>1560</v>
      </c>
    </row>
    <row r="3274" spans="1:7" ht="17.25">
      <c r="A3274" s="10" t="s">
        <v>1561</v>
      </c>
    </row>
    <row r="3275" spans="1:7" ht="17.25">
      <c r="A3275" s="2" t="s">
        <v>1562</v>
      </c>
    </row>
    <row r="3276" spans="1:7" ht="17.25">
      <c r="A3276" s="10" t="s">
        <v>1563</v>
      </c>
    </row>
    <row r="3277" spans="1:7" ht="17.25">
      <c r="A3277" s="10" t="s">
        <v>1564</v>
      </c>
    </row>
    <row r="3278" spans="1:7" ht="17.25">
      <c r="A3278" s="10" t="s">
        <v>1565</v>
      </c>
    </row>
    <row r="3279" spans="1:7" ht="17.25">
      <c r="A3279" s="10" t="s">
        <v>1566</v>
      </c>
    </row>
    <row r="3280" spans="1:7" ht="17.25">
      <c r="A3280" s="2" t="s">
        <v>1567</v>
      </c>
    </row>
    <row r="3283" spans="1:1">
      <c r="A3283" s="1" t="s">
        <v>1568</v>
      </c>
    </row>
    <row r="3284" spans="1:1">
      <c r="A3284" s="1" t="s">
        <v>1569</v>
      </c>
    </row>
    <row r="3285" spans="1:1">
      <c r="A3285" s="10" t="s">
        <v>1570</v>
      </c>
    </row>
    <row r="3286" spans="1:1">
      <c r="A3286" s="10" t="s">
        <v>1571</v>
      </c>
    </row>
    <row r="3287" spans="1:1">
      <c r="A3287" s="10" t="s">
        <v>1572</v>
      </c>
    </row>
    <row r="3288" spans="1:1">
      <c r="A3288" s="10" t="s">
        <v>1573</v>
      </c>
    </row>
    <row r="3289" spans="1:1">
      <c r="A3289" s="10" t="s">
        <v>1574</v>
      </c>
    </row>
    <row r="3290" spans="1:1">
      <c r="A3290" s="10" t="s">
        <v>1575</v>
      </c>
    </row>
    <row r="3293" spans="1:1">
      <c r="A3293" s="1" t="s">
        <v>1576</v>
      </c>
    </row>
    <row r="3294" spans="1:1" ht="17.25">
      <c r="A3294" s="2" t="s">
        <v>1426</v>
      </c>
    </row>
    <row r="3295" spans="1:1" ht="17.25">
      <c r="A3295" s="2" t="s">
        <v>1577</v>
      </c>
    </row>
    <row r="3296" spans="1:1" ht="17.25">
      <c r="A3296" s="2" t="s">
        <v>1428</v>
      </c>
    </row>
    <row r="3297" spans="1:1" ht="17.25">
      <c r="A3297" s="2" t="s">
        <v>1431</v>
      </c>
    </row>
    <row r="3298" spans="1:1" ht="17.25">
      <c r="A3298" s="5" t="s">
        <v>1578</v>
      </c>
    </row>
    <row r="3299" spans="1:1" ht="17.25">
      <c r="A3299" s="5" t="s">
        <v>1579</v>
      </c>
    </row>
    <row r="3300" spans="1:1" ht="17.25">
      <c r="A3300" s="5" t="s">
        <v>1580</v>
      </c>
    </row>
    <row r="3303" spans="1:1">
      <c r="A3303" s="1" t="s">
        <v>1581</v>
      </c>
    </row>
    <row r="3304" spans="1:1" ht="17.25">
      <c r="A3304" s="2" t="s">
        <v>1582</v>
      </c>
    </row>
    <row r="3305" spans="1:1">
      <c r="A3305" s="1" t="s">
        <v>1583</v>
      </c>
    </row>
    <row r="3306" spans="1:1" ht="17.25">
      <c r="A3306" s="5" t="s">
        <v>1584</v>
      </c>
    </row>
    <row r="3307" spans="1:1" ht="17.25">
      <c r="A3307" s="5" t="s">
        <v>1585</v>
      </c>
    </row>
    <row r="3308" spans="1:1" ht="17.25">
      <c r="A3308" s="5" t="s">
        <v>1586</v>
      </c>
    </row>
    <row r="3309" spans="1:1">
      <c r="A3309" s="1" t="s">
        <v>1158</v>
      </c>
    </row>
    <row r="3310" spans="1:1" ht="17.25">
      <c r="A3310" s="5" t="s">
        <v>1587</v>
      </c>
    </row>
    <row r="3311" spans="1:1" ht="17.25">
      <c r="A3311" s="5" t="s">
        <v>1588</v>
      </c>
    </row>
    <row r="3312" spans="1:1" ht="17.25">
      <c r="A3312" s="5" t="s">
        <v>1589</v>
      </c>
    </row>
    <row r="3313" spans="1:1">
      <c r="A3313" s="1" t="s">
        <v>1213</v>
      </c>
    </row>
    <row r="3314" spans="1:1" ht="17.25">
      <c r="A3314" s="5" t="s">
        <v>1590</v>
      </c>
    </row>
    <row r="3315" spans="1:1" ht="17.25">
      <c r="A3315" s="5" t="s">
        <v>1591</v>
      </c>
    </row>
    <row r="3316" spans="1:1" ht="17.25">
      <c r="A3316" s="5" t="s">
        <v>1592</v>
      </c>
    </row>
    <row r="3317" spans="1:1" ht="17.25">
      <c r="A3317" s="5" t="s">
        <v>1593</v>
      </c>
    </row>
    <row r="3318" spans="1:1" ht="17.25">
      <c r="A3318" s="5" t="s">
        <v>1594</v>
      </c>
    </row>
    <row r="3319" spans="1:1" ht="17.25">
      <c r="A3319" s="5" t="s">
        <v>1595</v>
      </c>
    </row>
    <row r="3320" spans="1:1" ht="17.25">
      <c r="A3320" s="2" t="s">
        <v>1596</v>
      </c>
    </row>
    <row r="3321" spans="1:1" ht="17.25">
      <c r="A3321" s="2"/>
    </row>
    <row r="3322" spans="1:1" ht="17.25">
      <c r="A3322" s="2"/>
    </row>
    <row r="3323" spans="1:1" ht="17.25">
      <c r="A3323" s="2"/>
    </row>
    <row r="3324" spans="1:1" ht="17.25">
      <c r="A3324" s="2"/>
    </row>
    <row r="3325" spans="1:1" ht="17.25">
      <c r="A3325" s="2"/>
    </row>
    <row r="3326" spans="1:1" ht="17.25">
      <c r="A3326" s="2"/>
    </row>
    <row r="3327" spans="1:1" ht="17.25">
      <c r="A3327" s="2"/>
    </row>
    <row r="3328" spans="1:1" ht="17.25">
      <c r="A3328" s="2"/>
    </row>
    <row r="3329" spans="1:1" ht="17.25">
      <c r="A3329" s="2"/>
    </row>
    <row r="3330" spans="1:1" ht="17.25">
      <c r="A3330" s="2" t="s">
        <v>1597</v>
      </c>
    </row>
    <row r="3333" spans="1:1">
      <c r="A3333" s="1" t="s">
        <v>1598</v>
      </c>
    </row>
    <row r="3334" spans="1:1">
      <c r="A3334" s="1" t="s">
        <v>1599</v>
      </c>
    </row>
    <row r="3335" spans="1:1">
      <c r="A3335" s="1" t="s">
        <v>1600</v>
      </c>
    </row>
    <row r="3336" spans="1:1">
      <c r="A3336" s="1" t="s">
        <v>1601</v>
      </c>
    </row>
    <row r="3337" spans="1:1" ht="17.25">
      <c r="A3337" s="2" t="s">
        <v>1602</v>
      </c>
    </row>
    <row r="3338" spans="1:1">
      <c r="A3338" s="1" t="s">
        <v>1603</v>
      </c>
    </row>
    <row r="3339" spans="1:1" ht="17.25">
      <c r="A3339" s="2" t="s">
        <v>1604</v>
      </c>
    </row>
    <row r="3340" spans="1:1" ht="17.25">
      <c r="A3340" s="5" t="s">
        <v>1605</v>
      </c>
    </row>
    <row r="3341" spans="1:1" ht="17.25">
      <c r="A3341" s="5" t="s">
        <v>1606</v>
      </c>
    </row>
    <row r="3342" spans="1:1" ht="17.25">
      <c r="A3342" s="5" t="s">
        <v>1607</v>
      </c>
    </row>
    <row r="3343" spans="1:1" ht="17.25">
      <c r="A3343" s="5" t="s">
        <v>1608</v>
      </c>
    </row>
    <row r="3346" spans="1:1">
      <c r="A3346" s="1" t="s">
        <v>1609</v>
      </c>
    </row>
    <row r="3347" spans="1:1">
      <c r="A3347" s="1" t="s">
        <v>1610</v>
      </c>
    </row>
    <row r="3348" spans="1:1" ht="17.25">
      <c r="A3348" s="2" t="s">
        <v>1611</v>
      </c>
    </row>
    <row r="3349" spans="1:1" ht="17.25">
      <c r="A3349" s="10" t="s">
        <v>1612</v>
      </c>
    </row>
    <row r="3350" spans="1:1" ht="17.25">
      <c r="A3350" s="13" t="s">
        <v>1613</v>
      </c>
    </row>
    <row r="3351" spans="1:1" ht="17.25">
      <c r="A3351" s="13" t="s">
        <v>1614</v>
      </c>
    </row>
    <row r="3352" spans="1:1" ht="17.25">
      <c r="A3352" s="13" t="s">
        <v>1615</v>
      </c>
    </row>
    <row r="3353" spans="1:1" ht="17.25">
      <c r="A3353" s="13" t="s">
        <v>1616</v>
      </c>
    </row>
    <row r="3354" spans="1:1">
      <c r="A3354" s="1" t="s">
        <v>1617</v>
      </c>
    </row>
    <row r="3355" spans="1:1" ht="17.25">
      <c r="A3355" s="2" t="s">
        <v>1618</v>
      </c>
    </row>
    <row r="3356" spans="1:1" ht="17.25">
      <c r="A3356" s="10" t="s">
        <v>1619</v>
      </c>
    </row>
    <row r="3357" spans="1:1" ht="17.25">
      <c r="A3357" s="10" t="s">
        <v>1620</v>
      </c>
    </row>
    <row r="3358" spans="1:1" ht="17.25">
      <c r="A3358" s="10" t="s">
        <v>1621</v>
      </c>
    </row>
    <row r="3359" spans="1:1" ht="17.25">
      <c r="A3359" s="10" t="s">
        <v>1622</v>
      </c>
    </row>
    <row r="3360" spans="1:1" ht="17.25">
      <c r="A3360" s="2" t="s">
        <v>1426</v>
      </c>
    </row>
    <row r="3361" spans="1:1" ht="17.25">
      <c r="A3361" s="2" t="s">
        <v>1577</v>
      </c>
    </row>
    <row r="3362" spans="1:1" ht="17.25">
      <c r="A3362" s="2" t="s">
        <v>1428</v>
      </c>
    </row>
    <row r="3363" spans="1:1" ht="17.25">
      <c r="A3363" s="2" t="s">
        <v>1623</v>
      </c>
    </row>
    <row r="3364" spans="1:1" ht="17.25">
      <c r="A3364" s="5" t="s">
        <v>1624</v>
      </c>
    </row>
    <row r="3365" spans="1:1" ht="17.25">
      <c r="A3365" s="5" t="s">
        <v>1625</v>
      </c>
    </row>
    <row r="3366" spans="1:1" ht="17.25">
      <c r="A3366" s="5" t="s">
        <v>1626</v>
      </c>
    </row>
    <row r="3369" spans="1:1">
      <c r="A3369" s="1" t="s">
        <v>1627</v>
      </c>
    </row>
    <row r="3370" spans="1:1">
      <c r="A3370" s="1" t="s">
        <v>1628</v>
      </c>
    </row>
    <row r="3371" spans="1:1" ht="17.25">
      <c r="A3371" s="2" t="s">
        <v>1629</v>
      </c>
    </row>
    <row r="3372" spans="1:1" ht="17.25">
      <c r="A3372" s="2" t="s">
        <v>1630</v>
      </c>
    </row>
    <row r="3373" spans="1:1" ht="17.25">
      <c r="A3373" s="10" t="s">
        <v>1631</v>
      </c>
    </row>
    <row r="3374" spans="1:1" ht="17.25">
      <c r="A3374" s="10" t="s">
        <v>1632</v>
      </c>
    </row>
    <row r="3375" spans="1:1" ht="17.25">
      <c r="A3375" s="10" t="s">
        <v>1633</v>
      </c>
    </row>
    <row r="3376" spans="1:1" ht="17.25">
      <c r="A3376" s="10" t="s">
        <v>1634</v>
      </c>
    </row>
    <row r="3377" spans="1:1">
      <c r="A3377" s="1" t="s">
        <v>1635</v>
      </c>
    </row>
    <row r="3378" spans="1:1" ht="17.25">
      <c r="A3378" s="2" t="s">
        <v>1636</v>
      </c>
    </row>
    <row r="3379" spans="1:1" ht="17.25">
      <c r="A3379" s="2" t="s">
        <v>1637</v>
      </c>
    </row>
    <row r="3380" spans="1:1" ht="17.25">
      <c r="A3380" s="10" t="s">
        <v>1638</v>
      </c>
    </row>
    <row r="3381" spans="1:1" ht="17.25">
      <c r="A3381" s="10" t="s">
        <v>1639</v>
      </c>
    </row>
    <row r="3382" spans="1:1" ht="17.25">
      <c r="A3382" s="10" t="s">
        <v>1640</v>
      </c>
    </row>
    <row r="3383" spans="1:1">
      <c r="A3383" s="1" t="s">
        <v>1641</v>
      </c>
    </row>
    <row r="3384" spans="1:1" ht="17.25">
      <c r="A3384" s="5" t="s">
        <v>1642</v>
      </c>
    </row>
    <row r="3385" spans="1:1" ht="17.25">
      <c r="A3385" s="5" t="s">
        <v>1643</v>
      </c>
    </row>
    <row r="3388" spans="1:1">
      <c r="A3388" s="1" t="s">
        <v>1644</v>
      </c>
    </row>
    <row r="3389" spans="1:1">
      <c r="A3389" s="1" t="s">
        <v>1645</v>
      </c>
    </row>
    <row r="3390" spans="1:1" ht="17.25">
      <c r="A3390" s="2" t="s">
        <v>1646</v>
      </c>
    </row>
    <row r="3391" spans="1:1" ht="17.25">
      <c r="A3391" s="10" t="s">
        <v>1647</v>
      </c>
    </row>
    <row r="3392" spans="1:1" ht="17.25">
      <c r="A3392" s="10" t="s">
        <v>1648</v>
      </c>
    </row>
    <row r="3393" spans="1:1" ht="17.25">
      <c r="A3393" s="10" t="s">
        <v>1649</v>
      </c>
    </row>
    <row r="3394" spans="1:1">
      <c r="A3394" s="1" t="s">
        <v>1650</v>
      </c>
    </row>
    <row r="3395" spans="1:1" ht="17.25">
      <c r="A3395" s="2" t="s">
        <v>1651</v>
      </c>
    </row>
    <row r="3396" spans="1:1" ht="17.25">
      <c r="A3396" s="10" t="s">
        <v>1652</v>
      </c>
    </row>
    <row r="3397" spans="1:1" ht="17.25">
      <c r="A3397" s="10" t="s">
        <v>1653</v>
      </c>
    </row>
    <row r="3398" spans="1:1" ht="17.25">
      <c r="A3398" s="10" t="s">
        <v>1654</v>
      </c>
    </row>
    <row r="3401" spans="1:1">
      <c r="A3401" s="1" t="s">
        <v>1655</v>
      </c>
    </row>
    <row r="3402" spans="1:1">
      <c r="A3402" s="1" t="s">
        <v>1656</v>
      </c>
    </row>
    <row r="3403" spans="1:1" ht="17.25">
      <c r="A3403" s="2" t="s">
        <v>1657</v>
      </c>
    </row>
    <row r="3404" spans="1:1" ht="17.25">
      <c r="A3404" s="10" t="s">
        <v>1658</v>
      </c>
    </row>
    <row r="3405" spans="1:1" ht="17.25">
      <c r="A3405" s="10" t="s">
        <v>1659</v>
      </c>
    </row>
    <row r="3406" spans="1:1">
      <c r="A3406" s="1" t="s">
        <v>1660</v>
      </c>
    </row>
    <row r="3407" spans="1:1" ht="17.25">
      <c r="A3407" s="10" t="s">
        <v>1661</v>
      </c>
    </row>
    <row r="3408" spans="1:1" ht="17.25">
      <c r="A3408" s="10" t="s">
        <v>1662</v>
      </c>
    </row>
    <row r="3409" spans="1:1">
      <c r="A3409" s="1" t="s">
        <v>1663</v>
      </c>
    </row>
    <row r="3410" spans="1:1" ht="17.25">
      <c r="A3410" s="2" t="s">
        <v>1664</v>
      </c>
    </row>
    <row r="3411" spans="1:1" ht="17.25">
      <c r="A3411" s="10" t="s">
        <v>1665</v>
      </c>
    </row>
    <row r="3412" spans="1:1" ht="17.25">
      <c r="A3412" s="10" t="s">
        <v>1666</v>
      </c>
    </row>
    <row r="3413" spans="1:1" ht="17.25">
      <c r="A3413" s="10" t="s">
        <v>1667</v>
      </c>
    </row>
    <row r="3416" spans="1:1">
      <c r="A3416" s="1" t="s">
        <v>1668</v>
      </c>
    </row>
    <row r="3417" spans="1:1">
      <c r="A3417" s="1" t="s">
        <v>1669</v>
      </c>
    </row>
    <row r="3418" spans="1:1" ht="17.25">
      <c r="A3418" s="2" t="s">
        <v>1670</v>
      </c>
    </row>
    <row r="3419" spans="1:1" ht="17.25">
      <c r="A3419" s="10" t="s">
        <v>1671</v>
      </c>
    </row>
    <row r="3420" spans="1:1" ht="17.25">
      <c r="A3420" s="10" t="s">
        <v>1672</v>
      </c>
    </row>
    <row r="3421" spans="1:1">
      <c r="A3421" s="1" t="s">
        <v>1673</v>
      </c>
    </row>
    <row r="3422" spans="1:1" ht="17.25">
      <c r="A3422" s="2" t="s">
        <v>1674</v>
      </c>
    </row>
    <row r="3423" spans="1:1">
      <c r="A3423" s="1" t="s">
        <v>1675</v>
      </c>
    </row>
    <row r="3424" spans="1:1" ht="17.25">
      <c r="A3424" s="2" t="s">
        <v>1676</v>
      </c>
    </row>
    <row r="3427" spans="1:1">
      <c r="A3427" s="1" t="s">
        <v>1677</v>
      </c>
    </row>
    <row r="3428" spans="1:1" ht="17.25">
      <c r="A3428" s="2" t="s">
        <v>1678</v>
      </c>
    </row>
    <row r="3431" spans="1:1">
      <c r="A3431" s="1" t="s">
        <v>1679</v>
      </c>
    </row>
    <row r="3432" spans="1:1" ht="17.25">
      <c r="A3432" s="10" t="s">
        <v>1680</v>
      </c>
    </row>
    <row r="3433" spans="1:1" ht="17.25">
      <c r="A3433" s="10" t="s">
        <v>1681</v>
      </c>
    </row>
    <row r="3434" spans="1:1" ht="17.25">
      <c r="A3434" s="10" t="s">
        <v>1682</v>
      </c>
    </row>
    <row r="3437" spans="1:1" ht="17.25">
      <c r="A3437" s="2" t="s">
        <v>1683</v>
      </c>
    </row>
    <row r="3438" spans="1:1" ht="17.25">
      <c r="A3438" s="2"/>
    </row>
    <row r="3439" spans="1:1" ht="17.25">
      <c r="A3439" s="2"/>
    </row>
  </sheetData>
  <pageMargins left="0.7" right="0.7" top="0.75" bottom="0.75" header="0.3" footer="0.3"/>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04A3-3528-47D9-90F5-321B38590B8F}">
  <dimension ref="A1:I66"/>
  <sheetViews>
    <sheetView topLeftCell="A32" workbookViewId="0">
      <selection activeCell="H14" sqref="H14"/>
    </sheetView>
  </sheetViews>
  <sheetFormatPr baseColWidth="10" defaultRowHeight="15"/>
  <cols>
    <col min="1" max="1" width="42.7109375" customWidth="1"/>
    <col min="2" max="2" width="48.42578125" customWidth="1"/>
    <col min="3" max="3" width="29.28515625" customWidth="1"/>
    <col min="4" max="4" width="34.85546875" customWidth="1"/>
    <col min="5" max="5" width="24.85546875" customWidth="1"/>
    <col min="6" max="7" width="22.5703125" customWidth="1"/>
    <col min="8" max="8" width="26.42578125" customWidth="1"/>
    <col min="9" max="9" width="19.140625" customWidth="1"/>
    <col min="10" max="10" width="22.140625" customWidth="1"/>
  </cols>
  <sheetData>
    <row r="1" spans="1:8" ht="15.75">
      <c r="A1" s="68" t="s">
        <v>1884</v>
      </c>
      <c r="H1" s="69"/>
    </row>
    <row r="2" spans="1:8" ht="65.099999999999994" customHeight="1">
      <c r="A2" s="70" t="s">
        <v>1230</v>
      </c>
      <c r="B2" s="70" t="s">
        <v>1814</v>
      </c>
      <c r="C2" s="70" t="s">
        <v>1815</v>
      </c>
      <c r="D2" s="70" t="s">
        <v>1817</v>
      </c>
      <c r="E2" s="70" t="s">
        <v>1819</v>
      </c>
      <c r="F2" s="70" t="s">
        <v>1684</v>
      </c>
    </row>
    <row r="3" spans="1:8" ht="65.099999999999994" customHeight="1">
      <c r="A3" s="70"/>
      <c r="B3" s="70"/>
      <c r="C3" s="70" t="s">
        <v>1816</v>
      </c>
      <c r="D3" s="70" t="s">
        <v>1818</v>
      </c>
      <c r="E3" s="70"/>
    </row>
    <row r="4" spans="1:8" ht="65.099999999999994" customHeight="1">
      <c r="A4" s="71" t="s">
        <v>1823</v>
      </c>
      <c r="B4" s="72" t="str">
        <f>B55</f>
        <v>≈ 43,61 %</v>
      </c>
      <c r="C4" s="73">
        <v>5000</v>
      </c>
      <c r="D4" s="73">
        <v>5500</v>
      </c>
      <c r="E4" s="71">
        <f t="shared" ref="E4:E13" si="0">(D4/C4)*100</f>
        <v>110.00000000000001</v>
      </c>
      <c r="F4" s="23" t="s">
        <v>1832</v>
      </c>
    </row>
    <row r="5" spans="1:8" ht="65.099999999999994" customHeight="1">
      <c r="A5" s="71" t="s">
        <v>1822</v>
      </c>
      <c r="B5" s="77" t="str">
        <f>B54</f>
        <v>≈ 39,25 %</v>
      </c>
      <c r="C5" s="73">
        <v>3000</v>
      </c>
      <c r="D5" s="73">
        <v>2700</v>
      </c>
      <c r="E5" s="71">
        <f t="shared" si="0"/>
        <v>90</v>
      </c>
    </row>
    <row r="6" spans="1:8" ht="65.099999999999994" customHeight="1">
      <c r="A6" s="76" t="s">
        <v>1825</v>
      </c>
      <c r="B6" s="72" t="str">
        <f>B56</f>
        <v>≈ 17,41 %</v>
      </c>
      <c r="E6" s="71" t="e">
        <f t="shared" si="0"/>
        <v>#DIV/0!</v>
      </c>
    </row>
    <row r="7" spans="1:8" ht="65.099999999999994" customHeight="1">
      <c r="A7" s="78" t="s">
        <v>1824</v>
      </c>
      <c r="B7" s="79">
        <v>0.2</v>
      </c>
      <c r="C7" s="80">
        <v>2000</v>
      </c>
      <c r="D7" s="80">
        <v>2100</v>
      </c>
      <c r="E7" s="78">
        <f t="shared" si="0"/>
        <v>105</v>
      </c>
      <c r="F7" s="81"/>
    </row>
    <row r="8" spans="1:8" ht="65.099999999999994" customHeight="1">
      <c r="A8" s="82" t="s">
        <v>1826</v>
      </c>
      <c r="B8" s="81"/>
      <c r="C8" s="81"/>
      <c r="D8" s="81"/>
      <c r="E8" s="78" t="e">
        <f t="shared" si="0"/>
        <v>#DIV/0!</v>
      </c>
      <c r="F8" s="81"/>
    </row>
    <row r="9" spans="1:8" ht="65.099999999999994" customHeight="1">
      <c r="A9" s="82" t="s">
        <v>1827</v>
      </c>
      <c r="B9" s="81"/>
      <c r="C9" s="81"/>
      <c r="D9" s="81"/>
      <c r="E9" s="78" t="e">
        <f t="shared" si="0"/>
        <v>#DIV/0!</v>
      </c>
      <c r="F9" s="81"/>
    </row>
    <row r="10" spans="1:8" ht="65.099999999999994" customHeight="1">
      <c r="A10" s="82" t="s">
        <v>1828</v>
      </c>
      <c r="B10" s="81"/>
      <c r="C10" s="81"/>
      <c r="D10" s="81"/>
      <c r="E10" s="78" t="e">
        <f t="shared" si="0"/>
        <v>#DIV/0!</v>
      </c>
      <c r="F10" s="81"/>
    </row>
    <row r="11" spans="1:8" ht="65.099999999999994" customHeight="1">
      <c r="A11" s="82" t="s">
        <v>1829</v>
      </c>
      <c r="B11" s="81"/>
      <c r="C11" s="81"/>
      <c r="D11" s="81"/>
      <c r="E11" s="78" t="e">
        <f t="shared" si="0"/>
        <v>#DIV/0!</v>
      </c>
      <c r="F11" s="81"/>
    </row>
    <row r="12" spans="1:8" ht="65.099999999999994" customHeight="1">
      <c r="A12" s="82" t="s">
        <v>1830</v>
      </c>
      <c r="B12" s="81"/>
      <c r="C12" s="81"/>
      <c r="D12" s="81"/>
      <c r="E12" s="78" t="e">
        <f t="shared" si="0"/>
        <v>#DIV/0!</v>
      </c>
      <c r="F12" s="81"/>
    </row>
    <row r="13" spans="1:8" ht="65.099999999999994" customHeight="1">
      <c r="A13" s="82" t="s">
        <v>1831</v>
      </c>
      <c r="B13" s="81"/>
      <c r="C13" s="81"/>
      <c r="D13" s="81"/>
      <c r="E13" s="78" t="e">
        <f t="shared" si="0"/>
        <v>#DIV/0!</v>
      </c>
      <c r="F13" s="81"/>
    </row>
    <row r="14" spans="1:8" ht="65.099999999999994" customHeight="1">
      <c r="A14" s="74" t="s">
        <v>1793</v>
      </c>
      <c r="B14" s="72">
        <v>1</v>
      </c>
      <c r="C14" s="73"/>
      <c r="D14" s="73"/>
      <c r="E14" s="71" t="s">
        <v>1821</v>
      </c>
    </row>
    <row r="16" spans="1:8">
      <c r="A16" s="67" t="s">
        <v>1791</v>
      </c>
    </row>
    <row r="17" spans="1:9">
      <c r="A17" s="63" t="s">
        <v>156</v>
      </c>
      <c r="B17" s="63" t="s">
        <v>1718</v>
      </c>
      <c r="C17" s="63" t="s">
        <v>168</v>
      </c>
      <c r="D17" s="63" t="s">
        <v>1779</v>
      </c>
      <c r="E17" s="63" t="s">
        <v>1792</v>
      </c>
      <c r="F17" s="63" t="s">
        <v>1721</v>
      </c>
    </row>
    <row r="18" spans="1:9">
      <c r="A18" s="64" t="s">
        <v>1793</v>
      </c>
      <c r="B18" s="62" t="s">
        <v>1794</v>
      </c>
      <c r="C18" s="62" t="s">
        <v>1795</v>
      </c>
      <c r="D18" s="62" t="s">
        <v>1729</v>
      </c>
      <c r="E18" s="62" t="s">
        <v>1796</v>
      </c>
      <c r="F18" s="62" t="s">
        <v>1730</v>
      </c>
    </row>
    <row r="19" spans="1:9">
      <c r="A19" s="64" t="s">
        <v>1793</v>
      </c>
      <c r="B19" s="62" t="s">
        <v>1794</v>
      </c>
      <c r="C19" s="62" t="s">
        <v>1797</v>
      </c>
      <c r="D19" s="62" t="s">
        <v>1729</v>
      </c>
      <c r="E19" s="62" t="s">
        <v>1798</v>
      </c>
      <c r="F19" s="62" t="s">
        <v>1730</v>
      </c>
    </row>
    <row r="20" spans="1:9">
      <c r="A20" s="64" t="s">
        <v>1793</v>
      </c>
      <c r="B20" s="62" t="s">
        <v>1794</v>
      </c>
      <c r="C20" s="62" t="s">
        <v>1799</v>
      </c>
      <c r="D20" s="62" t="s">
        <v>1729</v>
      </c>
      <c r="E20" s="62" t="s">
        <v>1800</v>
      </c>
      <c r="F20" s="62" t="s">
        <v>1730</v>
      </c>
    </row>
    <row r="21" spans="1:9" ht="15.75">
      <c r="H21" s="69"/>
    </row>
    <row r="23" spans="1:9">
      <c r="A23" s="67" t="s">
        <v>1717</v>
      </c>
    </row>
    <row r="25" spans="1:9" ht="60" customHeight="1">
      <c r="A25" s="63" t="s">
        <v>156</v>
      </c>
      <c r="B25" s="63" t="s">
        <v>1718</v>
      </c>
      <c r="C25" s="63" t="s">
        <v>1719</v>
      </c>
      <c r="D25" s="63" t="s">
        <v>1720</v>
      </c>
      <c r="E25" s="63" t="s">
        <v>1721</v>
      </c>
      <c r="F25" s="63" t="s">
        <v>1722</v>
      </c>
      <c r="G25" s="63" t="s">
        <v>1723</v>
      </c>
      <c r="H25" s="63" t="s">
        <v>1724</v>
      </c>
      <c r="I25" s="63" t="s">
        <v>1725</v>
      </c>
    </row>
    <row r="26" spans="1:9" ht="60" customHeight="1">
      <c r="A26" s="64" t="s">
        <v>1726</v>
      </c>
      <c r="B26" s="62" t="s">
        <v>1727</v>
      </c>
      <c r="C26" s="62" t="s">
        <v>1728</v>
      </c>
      <c r="D26" s="62" t="s">
        <v>1729</v>
      </c>
      <c r="E26" s="62" t="s">
        <v>1730</v>
      </c>
      <c r="F26" s="62" t="s">
        <v>1729</v>
      </c>
      <c r="G26" s="64" t="s">
        <v>1731</v>
      </c>
      <c r="H26" s="64" t="s">
        <v>1732</v>
      </c>
      <c r="I26" s="64" t="s">
        <v>1733</v>
      </c>
    </row>
    <row r="27" spans="1:9" ht="60" customHeight="1">
      <c r="A27" s="64" t="s">
        <v>1734</v>
      </c>
      <c r="B27" s="62" t="s">
        <v>1727</v>
      </c>
      <c r="C27" s="62" t="s">
        <v>1728</v>
      </c>
      <c r="D27" s="62" t="s">
        <v>1729</v>
      </c>
      <c r="E27" s="62" t="s">
        <v>1730</v>
      </c>
      <c r="F27" s="62" t="s">
        <v>1729</v>
      </c>
      <c r="G27" s="64" t="s">
        <v>1735</v>
      </c>
      <c r="H27" s="64" t="s">
        <v>1736</v>
      </c>
      <c r="I27" s="64" t="s">
        <v>1737</v>
      </c>
    </row>
    <row r="28" spans="1:9" ht="60" customHeight="1">
      <c r="A28" s="64" t="s">
        <v>1738</v>
      </c>
      <c r="B28" s="62" t="s">
        <v>1128</v>
      </c>
      <c r="C28" s="62" t="s">
        <v>1739</v>
      </c>
      <c r="D28" s="62" t="s">
        <v>1740</v>
      </c>
      <c r="E28" s="62" t="s">
        <v>1739</v>
      </c>
      <c r="F28" s="62" t="s">
        <v>1741</v>
      </c>
      <c r="G28" s="64" t="s">
        <v>1742</v>
      </c>
      <c r="H28" s="64" t="s">
        <v>1743</v>
      </c>
      <c r="I28" s="64" t="s">
        <v>1744</v>
      </c>
    </row>
    <row r="29" spans="1:9" ht="60" customHeight="1">
      <c r="A29" s="64" t="s">
        <v>1745</v>
      </c>
      <c r="B29" s="62" t="s">
        <v>1746</v>
      </c>
      <c r="C29" s="62" t="s">
        <v>1739</v>
      </c>
      <c r="D29" s="62" t="s">
        <v>1740</v>
      </c>
      <c r="E29" s="62" t="s">
        <v>1739</v>
      </c>
      <c r="F29" s="62" t="s">
        <v>1747</v>
      </c>
      <c r="G29" s="64" t="s">
        <v>1748</v>
      </c>
      <c r="H29" s="64" t="s">
        <v>1749</v>
      </c>
      <c r="I29" s="64" t="s">
        <v>1750</v>
      </c>
    </row>
    <row r="30" spans="1:9" ht="60" customHeight="1">
      <c r="A30" s="64" t="s">
        <v>354</v>
      </c>
      <c r="B30" s="62" t="s">
        <v>56</v>
      </c>
      <c r="C30" s="62" t="s">
        <v>1739</v>
      </c>
      <c r="D30" s="62" t="s">
        <v>1751</v>
      </c>
      <c r="E30" s="62" t="s">
        <v>1739</v>
      </c>
      <c r="F30" s="62" t="s">
        <v>1752</v>
      </c>
      <c r="G30" s="64" t="s">
        <v>1753</v>
      </c>
      <c r="H30" s="64" t="s">
        <v>1754</v>
      </c>
      <c r="I30" s="64" t="s">
        <v>1755</v>
      </c>
    </row>
    <row r="31" spans="1:9" ht="60" customHeight="1">
      <c r="A31" s="64" t="s">
        <v>58</v>
      </c>
      <c r="B31" s="62" t="s">
        <v>1756</v>
      </c>
      <c r="C31" s="62" t="s">
        <v>1728</v>
      </c>
      <c r="D31" s="62" t="s">
        <v>1757</v>
      </c>
      <c r="E31" s="62" t="s">
        <v>1730</v>
      </c>
      <c r="F31" s="62" t="s">
        <v>1757</v>
      </c>
      <c r="G31" s="64" t="s">
        <v>1758</v>
      </c>
      <c r="H31" s="64" t="s">
        <v>1759</v>
      </c>
      <c r="I31" s="64" t="s">
        <v>1760</v>
      </c>
    </row>
    <row r="32" spans="1:9" ht="60" customHeight="1">
      <c r="A32" s="64" t="s">
        <v>1761</v>
      </c>
      <c r="B32" s="62" t="s">
        <v>1128</v>
      </c>
      <c r="C32" s="62" t="s">
        <v>1739</v>
      </c>
      <c r="D32" s="62" t="s">
        <v>1762</v>
      </c>
      <c r="E32" s="62" t="s">
        <v>1739</v>
      </c>
      <c r="F32" s="62" t="s">
        <v>1741</v>
      </c>
      <c r="G32" s="64" t="s">
        <v>1763</v>
      </c>
      <c r="H32" s="64" t="s">
        <v>1764</v>
      </c>
      <c r="I32" s="64" t="s">
        <v>1765</v>
      </c>
    </row>
    <row r="33" spans="1:9" ht="60" customHeight="1">
      <c r="A33" s="64" t="s">
        <v>1766</v>
      </c>
      <c r="B33" s="62" t="s">
        <v>1746</v>
      </c>
      <c r="C33" s="62" t="s">
        <v>1739</v>
      </c>
      <c r="D33" s="62" t="s">
        <v>1767</v>
      </c>
      <c r="E33" s="62" t="s">
        <v>1739</v>
      </c>
      <c r="F33" s="62" t="s">
        <v>1747</v>
      </c>
      <c r="G33" s="64" t="s">
        <v>1768</v>
      </c>
      <c r="H33" s="64" t="s">
        <v>1769</v>
      </c>
      <c r="I33" s="64" t="s">
        <v>1760</v>
      </c>
    </row>
    <row r="34" spans="1:9" ht="60" customHeight="1">
      <c r="A34" s="64" t="s">
        <v>1770</v>
      </c>
      <c r="B34" s="62" t="s">
        <v>1128</v>
      </c>
      <c r="C34" s="62" t="s">
        <v>1739</v>
      </c>
      <c r="D34" s="62" t="s">
        <v>1747</v>
      </c>
      <c r="E34" s="62" t="s">
        <v>1739</v>
      </c>
      <c r="F34" s="62" t="s">
        <v>1741</v>
      </c>
      <c r="G34" s="64" t="s">
        <v>1771</v>
      </c>
    </row>
    <row r="36" spans="1:9">
      <c r="A36" t="s">
        <v>1772</v>
      </c>
    </row>
    <row r="38" spans="1:9">
      <c r="A38" t="s">
        <v>1773</v>
      </c>
    </row>
    <row r="39" spans="1:9">
      <c r="A39" s="4"/>
    </row>
    <row r="40" spans="1:9">
      <c r="A40" s="4" t="s">
        <v>1774</v>
      </c>
    </row>
    <row r="41" spans="1:9">
      <c r="A41" s="4" t="s">
        <v>1775</v>
      </c>
    </row>
    <row r="42" spans="1:9">
      <c r="A42" s="4" t="s">
        <v>1776</v>
      </c>
    </row>
    <row r="43" spans="1:9">
      <c r="A43" s="4" t="s">
        <v>1777</v>
      </c>
    </row>
    <row r="45" spans="1:9">
      <c r="A45" s="67" t="s">
        <v>1790</v>
      </c>
    </row>
    <row r="46" spans="1:9">
      <c r="A46" s="63" t="s">
        <v>168</v>
      </c>
      <c r="B46" s="63" t="s">
        <v>156</v>
      </c>
      <c r="C46" s="63" t="s">
        <v>1778</v>
      </c>
      <c r="D46" s="63" t="s">
        <v>1779</v>
      </c>
    </row>
    <row r="47" spans="1:9" ht="60">
      <c r="A47" s="65" t="s">
        <v>1780</v>
      </c>
      <c r="B47" s="64" t="s">
        <v>1781</v>
      </c>
      <c r="C47" s="64" t="s">
        <v>1782</v>
      </c>
      <c r="D47" s="66" t="s">
        <v>1783</v>
      </c>
    </row>
    <row r="48" spans="1:9" ht="30">
      <c r="A48" s="65" t="s">
        <v>1784</v>
      </c>
      <c r="B48" s="64" t="s">
        <v>1781</v>
      </c>
      <c r="C48" s="64" t="s">
        <v>1785</v>
      </c>
      <c r="D48" s="66" t="s">
        <v>1786</v>
      </c>
    </row>
    <row r="49" spans="1:4" ht="30">
      <c r="A49" s="65" t="s">
        <v>1787</v>
      </c>
      <c r="B49" s="64" t="s">
        <v>1781</v>
      </c>
      <c r="C49" s="64" t="s">
        <v>1788</v>
      </c>
      <c r="D49" s="66" t="s">
        <v>1789</v>
      </c>
    </row>
    <row r="52" spans="1:4">
      <c r="A52" s="67" t="s">
        <v>1839</v>
      </c>
    </row>
    <row r="53" spans="1:4">
      <c r="A53" s="63" t="s">
        <v>1833</v>
      </c>
      <c r="B53" s="63" t="s">
        <v>1834</v>
      </c>
    </row>
    <row r="54" spans="1:4">
      <c r="A54" s="65" t="s">
        <v>1822</v>
      </c>
      <c r="B54" s="65" t="s">
        <v>1835</v>
      </c>
      <c r="D54">
        <f>39.25+43.61+17.41</f>
        <v>100.27</v>
      </c>
    </row>
    <row r="55" spans="1:4">
      <c r="A55" s="65" t="s">
        <v>1823</v>
      </c>
      <c r="B55" s="65" t="s">
        <v>1836</v>
      </c>
    </row>
    <row r="56" spans="1:4">
      <c r="A56" s="65" t="s">
        <v>1837</v>
      </c>
      <c r="B56" s="65" t="s">
        <v>1838</v>
      </c>
    </row>
    <row r="58" spans="1:4">
      <c r="A58" s="67" t="s">
        <v>1840</v>
      </c>
    </row>
    <row r="59" spans="1:4">
      <c r="A59" s="63" t="s">
        <v>1841</v>
      </c>
      <c r="B59" s="63" t="s">
        <v>1842</v>
      </c>
      <c r="C59" s="63" t="s">
        <v>1843</v>
      </c>
    </row>
    <row r="60" spans="1:4" ht="60">
      <c r="A60" s="64" t="s">
        <v>1824</v>
      </c>
      <c r="B60" s="65" t="s">
        <v>1844</v>
      </c>
      <c r="C60" s="64" t="s">
        <v>1845</v>
      </c>
    </row>
    <row r="61" spans="1:4" ht="45">
      <c r="A61" s="64" t="s">
        <v>1846</v>
      </c>
      <c r="B61" s="65" t="s">
        <v>1844</v>
      </c>
      <c r="C61" s="64" t="s">
        <v>1847</v>
      </c>
    </row>
    <row r="62" spans="1:4" ht="45">
      <c r="A62" s="64" t="s">
        <v>1827</v>
      </c>
      <c r="B62" s="65" t="s">
        <v>1844</v>
      </c>
      <c r="C62" s="66" t="s">
        <v>1848</v>
      </c>
    </row>
    <row r="63" spans="1:4" ht="75">
      <c r="A63" s="64" t="s">
        <v>1828</v>
      </c>
      <c r="B63" s="65" t="s">
        <v>1844</v>
      </c>
      <c r="C63" s="66" t="s">
        <v>1849</v>
      </c>
    </row>
    <row r="64" spans="1:4" ht="30">
      <c r="A64" s="64" t="s">
        <v>1829</v>
      </c>
      <c r="B64" s="65" t="s">
        <v>1844</v>
      </c>
      <c r="C64" s="64" t="s">
        <v>1850</v>
      </c>
    </row>
    <row r="65" spans="1:3" ht="30">
      <c r="A65" s="64" t="s">
        <v>1830</v>
      </c>
      <c r="B65" s="65" t="s">
        <v>1844</v>
      </c>
      <c r="C65" s="64" t="s">
        <v>1851</v>
      </c>
    </row>
    <row r="66" spans="1:3" ht="30">
      <c r="A66" s="64" t="s">
        <v>1831</v>
      </c>
      <c r="B66" s="65" t="s">
        <v>1844</v>
      </c>
      <c r="C66" s="64" t="s">
        <v>1852</v>
      </c>
    </row>
  </sheetData>
  <phoneticPr fontId="20" type="noConversion"/>
  <hyperlinks>
    <hyperlink ref="D47" r:id="rId1" tooltip="REPUBLIQUE DE GUINEE" display="https://www.stat-guinee.org/images/Documents/Publications/INS/infra_annuelles/IHPI/IPI_Info_Guine_T1_2025.pdf?utm_source=chatgpt.com" xr:uid="{4CB510F4-1F1C-4029-9DB8-5F2E15FFBCA2}"/>
    <hyperlink ref="D48" r:id="rId2" tooltip="Guinée : hausse de la production industrielle au T2 2025" display="https://www.ecofinanceguinee.com/guinee-hausse-de-la-production-industrielle-au-t2-2025/?utm_source=chatgpt.com" xr:uid="{4EA875B4-62B1-423A-8980-39FD50EAE759}"/>
    <hyperlink ref="D49" r:id="rId3" tooltip="REPUBLIQUE DE GUINEE" display="https://www.stat-guinee.org/images/Documents/Publications/INS/infra_annuelles/IHPI/IPI_Info_Guine_T3_2025.pdf?utm_source=chatgpt.com" xr:uid="{EC14F3E1-EA51-43F5-A413-51B5DBE121E5}"/>
    <hyperlink ref="C62" r:id="rId4" tooltip="Plan industriel de la Guinée : 2022-2040 - eliezeroka | PDF Feuilletable en Ligne | FlipHTML5" display="https://fliphtml5.com/jmonx/nztk/Pre%CC%81sentation_Atlas_Industrie_Guine%CC%81e/?utm_source=chatgpt.com" xr:uid="{D8C46081-9313-4625-B959-475EA464903D}"/>
    <hyperlink ref="C63" r:id="rId5" tooltip="Plan industriel de la Guinée : 2022-2040 - eliezeroka | PDF Feuilletable en Ligne | FlipHTML5" display="https://fliphtml5.com/jmonx/nztk/Pre%CC%81sentation_Atlas_Industrie_Guine%CC%81e/?utm_source=chatgpt.com" xr:uid="{DEB909CA-3FDE-4ABF-B0F9-740F5FC02233}"/>
  </hyperlinks>
  <pageMargins left="0.7" right="0.7" top="0.75" bottom="0.75" header="0.3" footer="0.3"/>
  <tableParts count="6">
    <tablePart r:id="rId6"/>
    <tablePart r:id="rId7"/>
    <tablePart r:id="rId8"/>
    <tablePart r:id="rId9"/>
    <tablePart r:id="rId10"/>
    <tablePart r:id="rId1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54EE9-1917-4334-9868-88B62E675AA1}">
  <dimension ref="A1:J42"/>
  <sheetViews>
    <sheetView tabSelected="1" topLeftCell="A9" workbookViewId="0">
      <selection activeCell="D25" sqref="D25"/>
    </sheetView>
  </sheetViews>
  <sheetFormatPr baseColWidth="10" defaultRowHeight="15"/>
  <cols>
    <col min="1" max="1" width="33.5703125" customWidth="1"/>
    <col min="2" max="2" width="15.42578125" customWidth="1"/>
    <col min="3" max="3" width="24.42578125" customWidth="1"/>
    <col min="4" max="4" width="29.28515625" customWidth="1"/>
    <col min="5" max="5" width="24.28515625" customWidth="1"/>
    <col min="6" max="6" width="24.7109375" customWidth="1"/>
    <col min="7" max="7" width="36.42578125" customWidth="1"/>
    <col min="8" max="8" width="23.7109375" customWidth="1"/>
    <col min="9" max="9" width="19.7109375" customWidth="1"/>
    <col min="10" max="10" width="26.5703125" customWidth="1"/>
  </cols>
  <sheetData>
    <row r="1" spans="1:10" ht="15.75">
      <c r="A1" s="68" t="s">
        <v>1813</v>
      </c>
    </row>
    <row r="2" spans="1:10" ht="35.1" customHeight="1">
      <c r="A2" s="63" t="s">
        <v>156</v>
      </c>
      <c r="B2" s="63" t="s">
        <v>1718</v>
      </c>
      <c r="C2" s="63" t="s">
        <v>1780</v>
      </c>
      <c r="D2" s="63" t="s">
        <v>1784</v>
      </c>
      <c r="E2" s="63" t="s">
        <v>1787</v>
      </c>
      <c r="F2" s="63" t="s">
        <v>1801</v>
      </c>
      <c r="G2" s="63" t="s">
        <v>1802</v>
      </c>
      <c r="H2" s="63" t="s">
        <v>1779</v>
      </c>
      <c r="I2" s="63" t="s">
        <v>1721</v>
      </c>
      <c r="J2" s="63" t="s">
        <v>1803</v>
      </c>
    </row>
    <row r="3" spans="1:10" ht="35.1" customHeight="1">
      <c r="A3" s="64" t="s">
        <v>1793</v>
      </c>
      <c r="B3" s="62" t="s">
        <v>1727</v>
      </c>
      <c r="C3" s="62" t="s">
        <v>1796</v>
      </c>
      <c r="D3" s="62" t="s">
        <v>1798</v>
      </c>
      <c r="E3" s="62" t="s">
        <v>1800</v>
      </c>
      <c r="F3" s="62"/>
      <c r="G3" s="62"/>
      <c r="H3" s="62" t="s">
        <v>1729</v>
      </c>
      <c r="I3" s="62" t="s">
        <v>1730</v>
      </c>
      <c r="J3" s="62" t="s">
        <v>1804</v>
      </c>
    </row>
    <row r="4" spans="1:10" ht="35.1" customHeight="1">
      <c r="A4" s="64" t="s">
        <v>1734</v>
      </c>
      <c r="B4" s="62" t="s">
        <v>1727</v>
      </c>
      <c r="C4" s="62"/>
      <c r="D4" s="62"/>
      <c r="E4" s="62"/>
      <c r="F4" s="62"/>
      <c r="G4" s="62"/>
      <c r="H4" s="62" t="s">
        <v>1729</v>
      </c>
      <c r="I4" s="62" t="s">
        <v>1730</v>
      </c>
      <c r="J4" s="62" t="s">
        <v>1805</v>
      </c>
    </row>
    <row r="5" spans="1:10" ht="35.1" customHeight="1">
      <c r="A5" s="64" t="s">
        <v>1738</v>
      </c>
      <c r="B5" s="62" t="s">
        <v>1128</v>
      </c>
      <c r="C5" s="62"/>
      <c r="D5" s="62"/>
      <c r="E5" s="62"/>
      <c r="F5" s="62"/>
      <c r="G5" s="62"/>
      <c r="H5" s="62" t="s">
        <v>1740</v>
      </c>
      <c r="I5" s="62" t="s">
        <v>1739</v>
      </c>
      <c r="J5" s="62" t="s">
        <v>1806</v>
      </c>
    </row>
    <row r="6" spans="1:10" ht="35.1" customHeight="1">
      <c r="A6" s="64" t="s">
        <v>1807</v>
      </c>
      <c r="B6" s="62" t="s">
        <v>1746</v>
      </c>
      <c r="C6" s="62"/>
      <c r="D6" s="62"/>
      <c r="E6" s="62"/>
      <c r="F6" s="62"/>
      <c r="G6" s="62"/>
      <c r="H6" s="62" t="s">
        <v>1740</v>
      </c>
      <c r="I6" s="62" t="s">
        <v>1739</v>
      </c>
      <c r="J6" s="62" t="s">
        <v>1808</v>
      </c>
    </row>
    <row r="7" spans="1:10" ht="35.1" customHeight="1">
      <c r="A7" s="64" t="s">
        <v>354</v>
      </c>
      <c r="B7" s="62" t="s">
        <v>56</v>
      </c>
      <c r="C7" s="62"/>
      <c r="D7" s="62"/>
      <c r="E7" s="62"/>
      <c r="F7" s="62"/>
      <c r="G7" s="62"/>
      <c r="H7" s="62" t="s">
        <v>1752</v>
      </c>
      <c r="I7" s="62" t="s">
        <v>1739</v>
      </c>
      <c r="J7" s="62" t="s">
        <v>1809</v>
      </c>
    </row>
    <row r="8" spans="1:10" ht="35.1" customHeight="1">
      <c r="A8" s="64" t="s">
        <v>58</v>
      </c>
      <c r="B8" s="62" t="s">
        <v>1756</v>
      </c>
      <c r="C8" s="62"/>
      <c r="D8" s="62"/>
      <c r="E8" s="62"/>
      <c r="F8" s="62"/>
      <c r="G8" s="62"/>
      <c r="H8" s="62" t="s">
        <v>1757</v>
      </c>
      <c r="I8" s="62" t="s">
        <v>1730</v>
      </c>
      <c r="J8" s="62" t="s">
        <v>1810</v>
      </c>
    </row>
    <row r="9" spans="1:10" ht="35.1" customHeight="1">
      <c r="A9" s="64" t="s">
        <v>1761</v>
      </c>
      <c r="B9" s="62" t="s">
        <v>1128</v>
      </c>
      <c r="C9" s="62"/>
      <c r="D9" s="62"/>
      <c r="E9" s="62"/>
      <c r="F9" s="62"/>
      <c r="G9" s="62"/>
      <c r="H9" s="62" t="s">
        <v>1741</v>
      </c>
      <c r="I9" s="62" t="s">
        <v>1739</v>
      </c>
      <c r="J9" s="62" t="s">
        <v>1811</v>
      </c>
    </row>
    <row r="10" spans="1:10" ht="35.1" customHeight="1">
      <c r="A10" s="64" t="s">
        <v>1766</v>
      </c>
      <c r="B10" s="62" t="s">
        <v>1746</v>
      </c>
      <c r="C10" s="62"/>
      <c r="D10" s="62"/>
      <c r="E10" s="62"/>
      <c r="F10" s="62"/>
      <c r="G10" s="62"/>
      <c r="H10" s="62" t="s">
        <v>1767</v>
      </c>
      <c r="I10" s="62" t="s">
        <v>1739</v>
      </c>
      <c r="J10" s="62" t="s">
        <v>1810</v>
      </c>
    </row>
    <row r="11" spans="1:10" ht="35.1" customHeight="1">
      <c r="A11" s="64" t="s">
        <v>1770</v>
      </c>
      <c r="B11" s="62" t="s">
        <v>1128</v>
      </c>
      <c r="C11" s="62"/>
      <c r="D11" s="62"/>
      <c r="E11" s="62"/>
      <c r="F11" s="62"/>
      <c r="G11" s="62"/>
      <c r="H11" s="62" t="s">
        <v>1747</v>
      </c>
      <c r="I11" s="62" t="s">
        <v>1739</v>
      </c>
      <c r="J11" s="62" t="s">
        <v>1812</v>
      </c>
    </row>
    <row r="13" spans="1:10" ht="16.5" thickBot="1">
      <c r="A13" s="90" t="s">
        <v>1230</v>
      </c>
      <c r="B13" s="90" t="s">
        <v>1814</v>
      </c>
      <c r="C13" s="90" t="s">
        <v>1900</v>
      </c>
      <c r="D13" s="90" t="s">
        <v>1817</v>
      </c>
      <c r="E13" s="90" t="s">
        <v>1819</v>
      </c>
      <c r="F13" s="90" t="s">
        <v>1901</v>
      </c>
      <c r="G13" s="90" t="s">
        <v>1902</v>
      </c>
      <c r="H13" s="90" t="s">
        <v>1779</v>
      </c>
      <c r="I13" s="90" t="s">
        <v>947</v>
      </c>
    </row>
    <row r="14" spans="1:10" ht="44.25" customHeight="1">
      <c r="A14" s="37" t="s">
        <v>1822</v>
      </c>
      <c r="B14" s="75">
        <v>39.299999999999997</v>
      </c>
      <c r="C14" s="37"/>
      <c r="D14" s="37"/>
      <c r="E14" s="37" t="e">
        <f>D14/C14*100</f>
        <v>#DIV/0!</v>
      </c>
      <c r="F14" s="37"/>
      <c r="G14" s="37" t="e" cm="1">
        <f t="array" ref="G14">Valeur_Ajoutée_Mines / Valeur_Ajoutée_Industrielle_Totale *100</f>
        <v>#NAME?</v>
      </c>
      <c r="H14" s="37" t="s">
        <v>1903</v>
      </c>
      <c r="I14" s="37"/>
    </row>
    <row r="15" spans="1:10" ht="15.75">
      <c r="A15" s="37" t="s">
        <v>1823</v>
      </c>
      <c r="B15" s="75">
        <v>43.6</v>
      </c>
      <c r="C15" s="37"/>
      <c r="D15" s="37"/>
      <c r="E15" s="37" t="e">
        <f>D14/C14*100</f>
        <v>#DIV/0!</v>
      </c>
      <c r="F15" s="37"/>
      <c r="G15" s="37" t="e" cm="1">
        <f t="array" ref="G15">Valeur_Ajoutée_Manufacturier / Valeur_Ajoutée_Industrielle_Totale *100</f>
        <v>#NAME?</v>
      </c>
      <c r="H15" s="37" t="s">
        <v>1904</v>
      </c>
      <c r="I15" s="37"/>
    </row>
    <row r="16" spans="1:10" ht="38.25" customHeight="1">
      <c r="A16" s="37" t="s">
        <v>1825</v>
      </c>
      <c r="B16" s="75">
        <v>17.399999999999999</v>
      </c>
      <c r="C16" s="37"/>
      <c r="D16" s="37"/>
      <c r="E16" s="37" t="e">
        <f>D14/C14*100</f>
        <v>#DIV/0!</v>
      </c>
      <c r="F16" s="37"/>
      <c r="G16" s="37" t="e" cm="1">
        <f t="array" ref="G16">Valeur_Ajoutée_Construction / Valeur_Ajoutée_Industrielle_Totale *100</f>
        <v>#NAME?</v>
      </c>
      <c r="H16" s="37" t="s">
        <v>1905</v>
      </c>
      <c r="I16" s="37"/>
    </row>
    <row r="17" spans="1:10" ht="64.5" customHeight="1">
      <c r="A17" s="37" t="s">
        <v>1906</v>
      </c>
      <c r="B17" s="75">
        <v>100</v>
      </c>
      <c r="C17" s="37"/>
      <c r="D17" s="37"/>
      <c r="E17" s="37" t="s">
        <v>1907</v>
      </c>
      <c r="F17" s="37" t="e" cm="1">
        <f t="array" aca="1" ref="F17" ca="1">_xludf.SUM(F2:F4)</f>
        <v>#NAME?</v>
      </c>
      <c r="G17" s="75" t="s">
        <v>1908</v>
      </c>
      <c r="H17" s="37"/>
      <c r="I17" s="37"/>
    </row>
    <row r="19" spans="1:10" ht="60.75" customHeight="1">
      <c r="A19" s="107" t="s">
        <v>1909</v>
      </c>
      <c r="B19" s="107"/>
      <c r="C19" s="107"/>
      <c r="D19" s="107"/>
      <c r="E19" s="107"/>
      <c r="F19" s="107"/>
      <c r="G19" s="107"/>
      <c r="H19" s="107"/>
      <c r="I19" s="107"/>
      <c r="J19" s="91" t="s">
        <v>1907</v>
      </c>
    </row>
    <row r="20" spans="1:10" ht="15.75">
      <c r="A20" s="69" t="s">
        <v>1910</v>
      </c>
    </row>
    <row r="21" spans="1:10" ht="15.75" thickBot="1"/>
    <row r="22" spans="1:10">
      <c r="A22" s="92" t="s">
        <v>1545</v>
      </c>
      <c r="B22" s="94" t="s">
        <v>1911</v>
      </c>
    </row>
    <row r="23" spans="1:10" ht="128.25">
      <c r="A23" s="101" t="s">
        <v>1912</v>
      </c>
      <c r="B23" s="97" t="s">
        <v>1913</v>
      </c>
    </row>
    <row r="24" spans="1:10" ht="60">
      <c r="A24" s="101" t="s">
        <v>1914</v>
      </c>
      <c r="B24" s="97" t="s">
        <v>1915</v>
      </c>
    </row>
    <row r="25" spans="1:10" ht="60">
      <c r="A25" s="101" t="s">
        <v>1916</v>
      </c>
      <c r="B25" s="97" t="s">
        <v>1917</v>
      </c>
    </row>
    <row r="26" spans="1:10" ht="105">
      <c r="A26" s="101" t="s">
        <v>1918</v>
      </c>
      <c r="B26" s="97" t="s">
        <v>1919</v>
      </c>
    </row>
    <row r="27" spans="1:10" ht="75.75" thickBot="1">
      <c r="A27" s="102" t="s">
        <v>1920</v>
      </c>
      <c r="B27" s="100" t="s">
        <v>1921</v>
      </c>
    </row>
    <row r="28" spans="1:10" ht="15.75" thickBot="1"/>
    <row r="29" spans="1:10">
      <c r="A29" s="92" t="s">
        <v>1230</v>
      </c>
      <c r="B29" s="93" t="s">
        <v>1814</v>
      </c>
      <c r="C29" s="94" t="s">
        <v>1922</v>
      </c>
    </row>
    <row r="30" spans="1:10">
      <c r="A30" s="95" t="s">
        <v>977</v>
      </c>
      <c r="B30" s="96">
        <v>39.299999999999997</v>
      </c>
      <c r="C30" s="97">
        <v>110</v>
      </c>
    </row>
    <row r="31" spans="1:10">
      <c r="A31" s="95" t="s">
        <v>1820</v>
      </c>
      <c r="B31" s="96">
        <v>43.6</v>
      </c>
      <c r="C31" s="97">
        <v>105</v>
      </c>
    </row>
    <row r="32" spans="1:10" ht="15.75" thickBot="1">
      <c r="A32" s="98" t="s">
        <v>1923</v>
      </c>
      <c r="B32" s="99">
        <v>17.399999999999999</v>
      </c>
      <c r="C32" s="100">
        <v>95</v>
      </c>
    </row>
    <row r="34" spans="1:1">
      <c r="A34" t="s">
        <v>1924</v>
      </c>
    </row>
    <row r="35" spans="1:1">
      <c r="A35" s="4"/>
    </row>
    <row r="36" spans="1:1">
      <c r="A36" s="4" t="s">
        <v>1925</v>
      </c>
    </row>
    <row r="37" spans="1:1">
      <c r="A37" s="4" t="s">
        <v>1926</v>
      </c>
    </row>
    <row r="38" spans="1:1">
      <c r="A38" s="4" t="s">
        <v>1927</v>
      </c>
    </row>
    <row r="40" spans="1:1">
      <c r="A40" t="s">
        <v>1928</v>
      </c>
    </row>
    <row r="42" spans="1:1">
      <c r="A42" s="67" t="s">
        <v>1929</v>
      </c>
    </row>
  </sheetData>
  <mergeCells count="1">
    <mergeCell ref="A19:I19"/>
  </mergeCells>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CF8FE-2F48-4E5D-9BBB-A6536C4DFB77}">
  <dimension ref="A1:G6"/>
  <sheetViews>
    <sheetView workbookViewId="0">
      <selection activeCell="C15" sqref="C15"/>
    </sheetView>
  </sheetViews>
  <sheetFormatPr baseColWidth="10" defaultRowHeight="15"/>
  <cols>
    <col min="1" max="1" width="33.42578125" customWidth="1"/>
    <col min="2" max="2" width="19" customWidth="1"/>
    <col min="3" max="3" width="24.42578125" customWidth="1"/>
  </cols>
  <sheetData>
    <row r="1" spans="1:7" ht="15.75">
      <c r="A1" s="68" t="s">
        <v>1853</v>
      </c>
    </row>
    <row r="2" spans="1:7" ht="30" customHeight="1">
      <c r="A2" s="63" t="s">
        <v>156</v>
      </c>
      <c r="B2" s="63" t="s">
        <v>1854</v>
      </c>
      <c r="C2" s="63" t="s">
        <v>1855</v>
      </c>
      <c r="D2" s="63" t="s">
        <v>1690</v>
      </c>
      <c r="E2" s="63" t="s">
        <v>1691</v>
      </c>
      <c r="F2" s="63" t="s">
        <v>1692</v>
      </c>
      <c r="G2" s="63" t="s">
        <v>1693</v>
      </c>
    </row>
    <row r="3" spans="1:7" ht="30" customHeight="1">
      <c r="A3" s="64" t="s">
        <v>1856</v>
      </c>
      <c r="B3" s="62" t="s">
        <v>1857</v>
      </c>
      <c r="C3" s="83" t="e" cm="1">
        <f t="array" ref="C3">Production_Tn (saisie directe)</f>
        <v>#NAME?</v>
      </c>
    </row>
    <row r="4" spans="1:7" ht="30" customHeight="1">
      <c r="A4" s="64" t="s">
        <v>1858</v>
      </c>
      <c r="B4" s="62" t="s">
        <v>1128</v>
      </c>
      <c r="C4" s="83" t="e" cm="1">
        <f t="array" ref="C4">(Production_Tn/Production_Base)*100</f>
        <v>#NAME?</v>
      </c>
    </row>
    <row r="5" spans="1:7" ht="30" customHeight="1">
      <c r="A5" s="64" t="s">
        <v>1859</v>
      </c>
      <c r="B5" s="62" t="s">
        <v>1756</v>
      </c>
      <c r="C5" s="83" t="e" cm="1">
        <f t="array" ref="C5">Valeur_Production - Consommation_Intermediaire</f>
        <v>#NAME?</v>
      </c>
    </row>
    <row r="6" spans="1:7" ht="30" customHeight="1">
      <c r="A6" s="64" t="s">
        <v>1860</v>
      </c>
      <c r="B6" s="62" t="s">
        <v>1128</v>
      </c>
      <c r="C6" s="83" t="e" cm="1">
        <f t="array" ref="C6">Valeur_Ajoutée_Mines / Valeur_Ajoutée_Totale * 100</f>
        <v>#NAME?</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BE660-8DD5-42A9-B3A0-E43DF99340F8}">
  <dimension ref="A1:G6"/>
  <sheetViews>
    <sheetView workbookViewId="0">
      <selection activeCell="D19" sqref="D19"/>
    </sheetView>
  </sheetViews>
  <sheetFormatPr baseColWidth="10" defaultRowHeight="15"/>
  <cols>
    <col min="1" max="1" width="35.42578125" customWidth="1"/>
    <col min="2" max="2" width="19.42578125" customWidth="1"/>
    <col min="3" max="3" width="24.140625" customWidth="1"/>
  </cols>
  <sheetData>
    <row r="1" spans="1:7" ht="15.75">
      <c r="A1" s="68" t="s">
        <v>1823</v>
      </c>
    </row>
    <row r="2" spans="1:7" ht="30" customHeight="1">
      <c r="A2" s="63" t="s">
        <v>156</v>
      </c>
      <c r="B2" s="63" t="s">
        <v>1854</v>
      </c>
      <c r="C2" s="63" t="s">
        <v>1855</v>
      </c>
      <c r="D2" s="84" t="s">
        <v>1690</v>
      </c>
      <c r="E2" s="84" t="s">
        <v>1691</v>
      </c>
      <c r="F2" s="84" t="s">
        <v>1692</v>
      </c>
      <c r="G2" s="85" t="s">
        <v>1693</v>
      </c>
    </row>
    <row r="3" spans="1:7" ht="30" customHeight="1">
      <c r="A3" s="64" t="s">
        <v>1861</v>
      </c>
      <c r="B3" s="62" t="s">
        <v>1727</v>
      </c>
      <c r="C3" s="83" t="e" cm="1">
        <f t="array" ref="C3">(Production_Tn/Production_Base)*100</f>
        <v>#NAME?</v>
      </c>
    </row>
    <row r="4" spans="1:7" ht="30" customHeight="1">
      <c r="A4" s="64" t="s">
        <v>1862</v>
      </c>
      <c r="B4" s="62" t="s">
        <v>1756</v>
      </c>
      <c r="C4" s="83" t="e" cm="1">
        <f t="array" ref="C4">Valeur_Production - Consommation_Intermediaire</f>
        <v>#NAME?</v>
      </c>
    </row>
    <row r="5" spans="1:7" ht="30" customHeight="1">
      <c r="A5" s="64" t="s">
        <v>1863</v>
      </c>
      <c r="B5" s="62" t="s">
        <v>1128</v>
      </c>
      <c r="C5" s="83" t="e" cm="1">
        <f t="array" ref="C5">Valeur_Ajoutée_Manufacturier / Valeur_Ajoutée_Totale * 100</f>
        <v>#NAME?</v>
      </c>
    </row>
    <row r="6" spans="1:7" ht="30" customHeight="1">
      <c r="A6" s="64" t="s">
        <v>1864</v>
      </c>
      <c r="B6" s="62" t="s">
        <v>50</v>
      </c>
      <c r="C6" s="83" t="e" cm="1">
        <f t="array" ref="C6">Production_Tn/Production_Base*100</f>
        <v>#NAME?</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BC0E2-3706-425A-8A65-04E9BB94499C}">
  <dimension ref="A1:G6"/>
  <sheetViews>
    <sheetView workbookViewId="0">
      <selection activeCell="I23" sqref="I23"/>
    </sheetView>
  </sheetViews>
  <sheetFormatPr baseColWidth="10" defaultRowHeight="15"/>
  <cols>
    <col min="1" max="1" width="31.28515625" customWidth="1"/>
    <col min="2" max="2" width="18.28515625" customWidth="1"/>
    <col min="3" max="3" width="24" customWidth="1"/>
  </cols>
  <sheetData>
    <row r="1" spans="1:7" ht="15.75">
      <c r="A1" s="68" t="s">
        <v>1865</v>
      </c>
    </row>
    <row r="2" spans="1:7" ht="30" customHeight="1">
      <c r="A2" s="63" t="s">
        <v>156</v>
      </c>
      <c r="B2" s="63" t="s">
        <v>1854</v>
      </c>
      <c r="C2" s="63" t="s">
        <v>1855</v>
      </c>
      <c r="D2" s="84" t="s">
        <v>1690</v>
      </c>
      <c r="E2" s="84" t="s">
        <v>1691</v>
      </c>
      <c r="F2" s="84" t="s">
        <v>1692</v>
      </c>
      <c r="G2" s="85" t="s">
        <v>1693</v>
      </c>
    </row>
    <row r="3" spans="1:7" ht="30" customHeight="1">
      <c r="A3" s="64" t="s">
        <v>1866</v>
      </c>
      <c r="B3" s="62" t="s">
        <v>1867</v>
      </c>
      <c r="C3" s="83" t="e" cm="1">
        <f t="array" ref="C3">Production_Tn</f>
        <v>#NAME?</v>
      </c>
    </row>
    <row r="4" spans="1:7" ht="30" customHeight="1">
      <c r="A4" s="64" t="s">
        <v>1868</v>
      </c>
      <c r="B4" s="62" t="s">
        <v>1128</v>
      </c>
      <c r="C4" s="83" t="e" cm="1">
        <f t="array" ref="C4">Production_Tn/Production_Base*100</f>
        <v>#NAME?</v>
      </c>
    </row>
    <row r="5" spans="1:7" ht="30" customHeight="1">
      <c r="A5" s="64" t="s">
        <v>1869</v>
      </c>
      <c r="B5" s="62" t="s">
        <v>1870</v>
      </c>
      <c r="C5" s="83" t="e" cm="1">
        <f t="array" ref="C5">Production_Tn</f>
        <v>#NAME?</v>
      </c>
    </row>
    <row r="6" spans="1:7" ht="30" customHeight="1">
      <c r="A6" s="64" t="s">
        <v>1871</v>
      </c>
      <c r="B6" s="62" t="s">
        <v>1128</v>
      </c>
      <c r="C6" s="83" t="e" cm="1">
        <f t="array" ref="C6">Production_Tn/Capacite_Installee*100</f>
        <v>#NAME?</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3F95F-F66B-46D6-A9B2-9CAC6B893895}">
  <dimension ref="A1:G5"/>
  <sheetViews>
    <sheetView workbookViewId="0"/>
  </sheetViews>
  <sheetFormatPr baseColWidth="10" defaultRowHeight="15"/>
  <cols>
    <col min="1" max="1" width="27.85546875" customWidth="1"/>
    <col min="2" max="2" width="18.5703125" customWidth="1"/>
    <col min="3" max="3" width="25.140625" customWidth="1"/>
  </cols>
  <sheetData>
    <row r="1" spans="1:7" ht="15.75">
      <c r="A1" s="68" t="s">
        <v>1872</v>
      </c>
    </row>
    <row r="2" spans="1:7" ht="30" customHeight="1">
      <c r="A2" s="63" t="s">
        <v>156</v>
      </c>
      <c r="B2" s="63" t="s">
        <v>1854</v>
      </c>
      <c r="C2" s="63" t="s">
        <v>1855</v>
      </c>
      <c r="D2" s="84" t="s">
        <v>1690</v>
      </c>
      <c r="E2" s="84" t="s">
        <v>1691</v>
      </c>
      <c r="F2" s="84" t="s">
        <v>1692</v>
      </c>
      <c r="G2" s="85" t="s">
        <v>1693</v>
      </c>
    </row>
    <row r="3" spans="1:7" ht="30" customHeight="1">
      <c r="A3" s="64" t="s">
        <v>1873</v>
      </c>
      <c r="B3" s="62" t="s">
        <v>1727</v>
      </c>
      <c r="C3" s="83" t="e" cm="1">
        <f t="array" ref="C3">Production_Tn / Production_Base *100</f>
        <v>#NAME?</v>
      </c>
    </row>
    <row r="4" spans="1:7" ht="30" customHeight="1">
      <c r="A4" s="64" t="s">
        <v>1874</v>
      </c>
      <c r="B4" s="62" t="s">
        <v>1756</v>
      </c>
      <c r="C4" s="83" t="e" cm="1">
        <f t="array" ref="C4">Valeur_Production - Consommation_Intermediaire</f>
        <v>#NAME?</v>
      </c>
    </row>
    <row r="5" spans="1:7" ht="30" customHeight="1">
      <c r="A5" s="64" t="s">
        <v>1875</v>
      </c>
      <c r="B5" s="62" t="s">
        <v>1128</v>
      </c>
      <c r="C5" s="83" t="e" cm="1">
        <f t="array" ref="C5">Valeur_Ajoutée_Chimie / Valeur_Ajoutée_Industrielle_Totale *100</f>
        <v>#NAME?</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70905-A556-454E-914D-843BBE2ABB23}">
  <dimension ref="A1:G5"/>
  <sheetViews>
    <sheetView workbookViewId="0">
      <selection activeCell="J26" sqref="J26"/>
    </sheetView>
  </sheetViews>
  <sheetFormatPr baseColWidth="10" defaultRowHeight="15"/>
  <cols>
    <col min="1" max="1" width="28.42578125" customWidth="1"/>
    <col min="2" max="2" width="14.85546875" customWidth="1"/>
    <col min="3" max="3" width="24.7109375" customWidth="1"/>
  </cols>
  <sheetData>
    <row r="1" spans="1:7" ht="15.75">
      <c r="A1" s="68" t="s">
        <v>1828</v>
      </c>
    </row>
    <row r="2" spans="1:7" ht="30" customHeight="1">
      <c r="A2" s="63" t="s">
        <v>156</v>
      </c>
      <c r="B2" s="63" t="s">
        <v>1854</v>
      </c>
      <c r="C2" s="63" t="s">
        <v>1855</v>
      </c>
      <c r="D2" s="84" t="s">
        <v>1690</v>
      </c>
      <c r="E2" s="84" t="s">
        <v>1691</v>
      </c>
      <c r="F2" s="84" t="s">
        <v>1692</v>
      </c>
      <c r="G2" s="85" t="s">
        <v>1693</v>
      </c>
    </row>
    <row r="3" spans="1:7" ht="30" customHeight="1">
      <c r="A3" s="64" t="s">
        <v>1876</v>
      </c>
      <c r="B3" s="62" t="s">
        <v>1727</v>
      </c>
      <c r="C3" s="83" t="e" cm="1">
        <f t="array" ref="C3">Production_Tn / Production_Base *100</f>
        <v>#NAME?</v>
      </c>
    </row>
    <row r="4" spans="1:7" ht="30" customHeight="1">
      <c r="A4" s="64" t="s">
        <v>1877</v>
      </c>
      <c r="B4" s="62" t="s">
        <v>1756</v>
      </c>
      <c r="C4" s="83" t="e" cm="1">
        <f t="array" ref="C4">Valeur_Production - Consommation_Intermediaire</f>
        <v>#NAME?</v>
      </c>
    </row>
    <row r="5" spans="1:7" ht="30" customHeight="1">
      <c r="A5" s="64" t="s">
        <v>1875</v>
      </c>
      <c r="B5" s="62" t="s">
        <v>1128</v>
      </c>
      <c r="C5" s="83" t="e" cm="1">
        <f t="array" ref="C5">Valeur_Ajoutée_Textile / Valeur_Ajoutée_Industrielle_Totale *100</f>
        <v>#NAME?</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E6908-2280-4A05-B551-82AB6B99C0CB}">
  <dimension ref="A1:G6"/>
  <sheetViews>
    <sheetView workbookViewId="0">
      <selection activeCell="B24" sqref="B24"/>
    </sheetView>
  </sheetViews>
  <sheetFormatPr baseColWidth="10" defaultRowHeight="15"/>
  <cols>
    <col min="1" max="1" width="33.85546875" customWidth="1"/>
    <col min="2" max="2" width="20.42578125" customWidth="1"/>
    <col min="3" max="3" width="24" customWidth="1"/>
  </cols>
  <sheetData>
    <row r="1" spans="1:7" ht="15.75">
      <c r="A1" s="68" t="s">
        <v>1878</v>
      </c>
    </row>
    <row r="2" spans="1:7" ht="30" customHeight="1">
      <c r="A2" s="63" t="s">
        <v>156</v>
      </c>
      <c r="B2" s="63" t="s">
        <v>1854</v>
      </c>
      <c r="C2" s="63" t="s">
        <v>1855</v>
      </c>
      <c r="D2" s="84" t="s">
        <v>1690</v>
      </c>
      <c r="E2" s="84" t="s">
        <v>1691</v>
      </c>
      <c r="F2" s="84" t="s">
        <v>1692</v>
      </c>
      <c r="G2" s="85" t="s">
        <v>1693</v>
      </c>
    </row>
    <row r="3" spans="1:7" ht="30" customHeight="1">
      <c r="A3" s="64" t="s">
        <v>1879</v>
      </c>
      <c r="B3" s="62" t="s">
        <v>1857</v>
      </c>
      <c r="C3" s="83" t="e" cm="1">
        <f t="array" ref="C3">Production_Tn</f>
        <v>#NAME?</v>
      </c>
    </row>
    <row r="4" spans="1:7" ht="30" customHeight="1">
      <c r="A4" s="64" t="s">
        <v>1858</v>
      </c>
      <c r="B4" s="62" t="s">
        <v>1128</v>
      </c>
      <c r="C4" s="83" t="e" cm="1">
        <f t="array" ref="C4">Production_Tn / Production_Base *100</f>
        <v>#NAME?</v>
      </c>
    </row>
    <row r="5" spans="1:7" ht="30" customHeight="1">
      <c r="A5" s="64" t="s">
        <v>1880</v>
      </c>
      <c r="B5" s="62" t="s">
        <v>1756</v>
      </c>
      <c r="C5" s="83" t="e" cm="1">
        <f t="array" ref="C5">Valeur_Production - Consommation_Intermediaire</f>
        <v>#NAME?</v>
      </c>
    </row>
    <row r="6" spans="1:7" ht="30" customHeight="1">
      <c r="A6" s="64" t="s">
        <v>1875</v>
      </c>
      <c r="B6" s="62" t="s">
        <v>1128</v>
      </c>
      <c r="C6" s="83" t="e" cm="1">
        <f t="array" ref="C6">Valeur_Ajoutée_Metal / Valeur_Ajoutée_Industrielle_Totale *100</f>
        <v>#NAME?</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53318-AECF-4B37-BEF1-66D47A7C5946}">
  <dimension ref="A1:G6"/>
  <sheetViews>
    <sheetView workbookViewId="0">
      <selection activeCell="K19" sqref="K19"/>
    </sheetView>
  </sheetViews>
  <sheetFormatPr baseColWidth="10" defaultRowHeight="15"/>
  <cols>
    <col min="1" max="1" width="32.140625" customWidth="1"/>
    <col min="2" max="2" width="19.140625" customWidth="1"/>
    <col min="3" max="3" width="24.5703125" customWidth="1"/>
  </cols>
  <sheetData>
    <row r="1" spans="1:7" ht="15.75">
      <c r="A1" s="68" t="s">
        <v>1881</v>
      </c>
    </row>
    <row r="2" spans="1:7" ht="30" customHeight="1">
      <c r="A2" s="63" t="s">
        <v>156</v>
      </c>
      <c r="B2" s="63" t="s">
        <v>1854</v>
      </c>
      <c r="C2" s="63" t="s">
        <v>1855</v>
      </c>
      <c r="D2" s="84" t="s">
        <v>1690</v>
      </c>
      <c r="E2" s="84" t="s">
        <v>1691</v>
      </c>
      <c r="F2" s="84" t="s">
        <v>1692</v>
      </c>
      <c r="G2" s="85" t="s">
        <v>1693</v>
      </c>
    </row>
    <row r="3" spans="1:7" ht="30" customHeight="1">
      <c r="A3" s="64" t="s">
        <v>1882</v>
      </c>
      <c r="B3" s="62" t="s">
        <v>1857</v>
      </c>
      <c r="C3" s="83" t="e" cm="1">
        <f t="array" ref="C3">Production_Tn</f>
        <v>#NAME?</v>
      </c>
    </row>
    <row r="4" spans="1:7" ht="30" customHeight="1">
      <c r="A4" s="64" t="s">
        <v>1868</v>
      </c>
      <c r="B4" s="62" t="s">
        <v>1128</v>
      </c>
      <c r="C4" s="83" t="e" cm="1">
        <f t="array" ref="C4">Production_Tn / Production_Base *100</f>
        <v>#NAME?</v>
      </c>
    </row>
    <row r="5" spans="1:7" ht="30" customHeight="1">
      <c r="A5" s="64" t="s">
        <v>1883</v>
      </c>
      <c r="B5" s="62" t="s">
        <v>1756</v>
      </c>
      <c r="C5" s="83" t="e" cm="1">
        <f t="array" ref="C5">Valeur_Production - Consommation_Intermediaire</f>
        <v>#NAME?</v>
      </c>
    </row>
    <row r="6" spans="1:7" ht="30" customHeight="1">
      <c r="A6" s="64" t="s">
        <v>1875</v>
      </c>
      <c r="B6" s="62" t="s">
        <v>1128</v>
      </c>
      <c r="C6" s="83" t="e" cm="1">
        <f t="array" ref="C6">Valeur_Ajoutée_Bois / Valeur_Ajoutée_Industrielle_Totale *100</f>
        <v>#NAME?</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8DAB3-1D4D-4EB1-8F34-EDF0D12356BC}">
  <dimension ref="A1:F20"/>
  <sheetViews>
    <sheetView workbookViewId="0">
      <selection activeCell="D7" sqref="D7"/>
    </sheetView>
  </sheetViews>
  <sheetFormatPr baseColWidth="10" defaultRowHeight="15"/>
  <cols>
    <col min="1" max="1" width="18.28515625" customWidth="1"/>
    <col min="2" max="2" width="28.7109375" customWidth="1"/>
    <col min="3" max="3" width="26.140625" customWidth="1"/>
    <col min="4" max="4" width="19.5703125" customWidth="1"/>
    <col min="5" max="5" width="18.140625" customWidth="1"/>
    <col min="6" max="6" width="20.5703125" customWidth="1"/>
  </cols>
  <sheetData>
    <row r="1" spans="1:6">
      <c r="A1" s="1" t="s">
        <v>1886</v>
      </c>
    </row>
    <row r="2" spans="1:6">
      <c r="A2" s="1" t="s">
        <v>87</v>
      </c>
    </row>
    <row r="3" spans="1:6" ht="37.5" customHeight="1">
      <c r="A3" s="39" t="s">
        <v>88</v>
      </c>
      <c r="B3" s="39" t="s">
        <v>89</v>
      </c>
      <c r="C3" s="39" t="s">
        <v>1887</v>
      </c>
    </row>
    <row r="4" spans="1:6" ht="17.25">
      <c r="A4" s="9">
        <v>1</v>
      </c>
      <c r="B4" s="7" t="s">
        <v>90</v>
      </c>
      <c r="C4" s="7"/>
    </row>
    <row r="5" spans="1:6" ht="26.25" customHeight="1">
      <c r="A5" s="9">
        <v>2</v>
      </c>
      <c r="B5" s="7" t="s">
        <v>71</v>
      </c>
      <c r="C5" s="7"/>
    </row>
    <row r="6" spans="1:6" ht="17.25">
      <c r="A6" s="9">
        <v>3</v>
      </c>
      <c r="B6" s="7" t="s">
        <v>91</v>
      </c>
      <c r="C6" s="7"/>
    </row>
    <row r="7" spans="1:6" ht="27" customHeight="1">
      <c r="A7" s="9">
        <v>4</v>
      </c>
      <c r="B7" s="7" t="s">
        <v>67</v>
      </c>
      <c r="C7" s="7"/>
    </row>
    <row r="8" spans="1:6" ht="24" customHeight="1">
      <c r="A8" s="9">
        <v>5</v>
      </c>
      <c r="B8" s="7" t="s">
        <v>92</v>
      </c>
      <c r="C8" s="7"/>
    </row>
    <row r="9" spans="1:6" ht="28.5" customHeight="1">
      <c r="A9" s="9">
        <v>6</v>
      </c>
      <c r="B9" s="7" t="s">
        <v>93</v>
      </c>
      <c r="C9" s="7"/>
    </row>
    <row r="10" spans="1:6" ht="27" customHeight="1">
      <c r="A10" s="9">
        <v>7</v>
      </c>
      <c r="B10" s="7" t="s">
        <v>94</v>
      </c>
      <c r="C10" s="7"/>
    </row>
    <row r="11" spans="1:6" ht="26.25" customHeight="1">
      <c r="A11" s="9">
        <v>8</v>
      </c>
      <c r="B11" s="7" t="s">
        <v>95</v>
      </c>
      <c r="C11" s="7"/>
    </row>
    <row r="12" spans="1:6" ht="17.25">
      <c r="A12" s="9"/>
      <c r="B12" s="7"/>
    </row>
    <row r="13" spans="1:6">
      <c r="A13" s="1" t="s">
        <v>96</v>
      </c>
    </row>
    <row r="14" spans="1:6" ht="35.1" customHeight="1">
      <c r="A14" s="39" t="s">
        <v>76</v>
      </c>
      <c r="B14" s="39" t="s">
        <v>88</v>
      </c>
      <c r="C14" s="39" t="s">
        <v>17</v>
      </c>
      <c r="D14" s="39" t="s">
        <v>23</v>
      </c>
      <c r="E14" s="39" t="s">
        <v>35</v>
      </c>
      <c r="F14" s="39" t="s">
        <v>97</v>
      </c>
    </row>
    <row r="15" spans="1:6" ht="35.1" customHeight="1">
      <c r="A15" s="9">
        <v>1</v>
      </c>
      <c r="B15" s="9">
        <v>1</v>
      </c>
      <c r="C15" s="9" t="s">
        <v>19</v>
      </c>
      <c r="D15" s="9" t="s">
        <v>25</v>
      </c>
      <c r="E15" s="9" t="s">
        <v>98</v>
      </c>
      <c r="F15" s="9">
        <v>4</v>
      </c>
    </row>
    <row r="16" spans="1:6" ht="35.1" customHeight="1">
      <c r="A16" s="45" t="s">
        <v>99</v>
      </c>
      <c r="B16" s="44"/>
      <c r="C16" s="44"/>
      <c r="D16" s="44"/>
      <c r="E16" s="44"/>
      <c r="F16" s="44"/>
    </row>
    <row r="17" spans="1:6" ht="35.1" customHeight="1">
      <c r="A17" s="45" t="s">
        <v>100</v>
      </c>
      <c r="B17" s="44"/>
      <c r="C17" s="44"/>
      <c r="D17" s="44"/>
      <c r="E17" s="44"/>
      <c r="F17" s="44"/>
    </row>
    <row r="18" spans="1:6" ht="35.1" customHeight="1">
      <c r="A18" s="45" t="s">
        <v>101</v>
      </c>
      <c r="B18" s="44"/>
      <c r="C18" s="44"/>
      <c r="D18" s="44"/>
      <c r="E18" s="44"/>
      <c r="F18" s="44"/>
    </row>
    <row r="19" spans="1:6" ht="35.1" customHeight="1">
      <c r="A19" s="45" t="s">
        <v>102</v>
      </c>
      <c r="B19" s="44"/>
      <c r="C19" s="44"/>
      <c r="D19" s="44"/>
      <c r="E19" s="44"/>
      <c r="F19" s="44"/>
    </row>
    <row r="20" spans="1:6" ht="35.1" customHeight="1">
      <c r="A20" s="45" t="s">
        <v>103</v>
      </c>
      <c r="B20" s="44"/>
      <c r="C20" s="44"/>
      <c r="D20" s="44"/>
      <c r="E20" s="44"/>
      <c r="F20" s="44"/>
    </row>
  </sheetData>
  <pageMargins left="0.7" right="0.7" top="0.75" bottom="0.75" header="0.3" footer="0.3"/>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84220-CA93-4FA7-9F57-777AAFFFD0FD}">
  <dimension ref="A1:G5"/>
  <sheetViews>
    <sheetView workbookViewId="0">
      <selection activeCell="B9" sqref="B9"/>
    </sheetView>
  </sheetViews>
  <sheetFormatPr baseColWidth="10" defaultRowHeight="15"/>
  <cols>
    <col min="2" max="2" width="23" customWidth="1"/>
    <col min="3" max="3" width="21.140625" customWidth="1"/>
    <col min="4" max="4" width="16.85546875" customWidth="1"/>
    <col min="5" max="5" width="18.140625" customWidth="1"/>
    <col min="6" max="6" width="20.140625" customWidth="1"/>
    <col min="7" max="7" width="20.42578125" customWidth="1"/>
  </cols>
  <sheetData>
    <row r="1" spans="1:7">
      <c r="A1" s="1" t="s">
        <v>1888</v>
      </c>
    </row>
    <row r="2" spans="1:7">
      <c r="A2" s="1" t="s">
        <v>105</v>
      </c>
    </row>
    <row r="3" spans="1:7" ht="48.75" customHeight="1">
      <c r="A3" s="39" t="s">
        <v>76</v>
      </c>
      <c r="B3" s="39" t="s">
        <v>46</v>
      </c>
      <c r="C3" s="39" t="s">
        <v>24</v>
      </c>
      <c r="D3" s="39" t="s">
        <v>106</v>
      </c>
      <c r="E3" s="39" t="s">
        <v>107</v>
      </c>
      <c r="F3" s="39" t="s">
        <v>108</v>
      </c>
      <c r="G3" s="39" t="s">
        <v>109</v>
      </c>
    </row>
    <row r="4" spans="1:7" ht="35.25" customHeight="1">
      <c r="A4" s="7">
        <v>1</v>
      </c>
      <c r="B4" s="7" t="s">
        <v>19</v>
      </c>
      <c r="C4" s="7" t="s">
        <v>25</v>
      </c>
      <c r="D4" s="7" t="s">
        <v>98</v>
      </c>
      <c r="E4" s="7">
        <v>40</v>
      </c>
      <c r="F4" s="7">
        <v>35</v>
      </c>
      <c r="G4" s="7">
        <v>25</v>
      </c>
    </row>
    <row r="5" spans="1:7" ht="17.25">
      <c r="A5" s="2" t="s">
        <v>110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13</vt:i4>
      </vt:variant>
    </vt:vector>
  </HeadingPairs>
  <TitlesOfParts>
    <vt:vector size="13" baseType="lpstr">
      <vt:lpstr>Structure</vt:lpstr>
      <vt:lpstr>Paramétrage</vt:lpstr>
      <vt:lpstr>Industrie</vt:lpstr>
      <vt:lpstr>Structure de la matrice</vt:lpstr>
      <vt:lpstr>Extraction minière</vt:lpstr>
      <vt:lpstr>Industries manufacturières</vt:lpstr>
      <vt:lpstr>Énergie, gaz et eau</vt:lpstr>
      <vt:lpstr>Chimie et matériaux</vt:lpstr>
      <vt:lpstr>Textile, habillement et cuir</vt:lpstr>
      <vt:lpstr>Métallurgie et produits métalli</vt:lpstr>
      <vt:lpstr>Bois et papier</vt:lpstr>
      <vt:lpstr>CONTRAINTES ENTREPRISES</vt:lpstr>
      <vt:lpstr>PERSPECTIVES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Moussa KANE</dc:creator>
  <cp:lastModifiedBy>Moussa KANE</cp:lastModifiedBy>
  <dcterms:created xsi:type="dcterms:W3CDTF">2026-04-04T12:28:10Z</dcterms:created>
  <dcterms:modified xsi:type="dcterms:W3CDTF">2026-04-04T21:03:18Z</dcterms:modified>
</cp:coreProperties>
</file>